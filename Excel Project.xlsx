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3" activeTab="4"/>
  </bookViews>
  <sheets>
    <sheet name="bike_buyers" sheetId="1" r:id="rId1"/>
    <sheet name="working sheet" sheetId="2" r:id="rId2"/>
    <sheet name="Sheet4" sheetId="5" r:id="rId3"/>
    <sheet name="dashboard" sheetId="4" r:id="rId4"/>
    <sheet name="privot table2" sheetId="6" r:id="rId5"/>
  </sheets>
  <definedNames>
    <definedName name="_xlnm._FilterDatabase" localSheetId="1" hidden="1">'working sheet'!$A$1:$N$1027</definedName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<sst xmlns="http://schemas.openxmlformats.org/spreadsheetml/2006/main" count="18440" uniqueCount="53">
  <si>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</si>
  <si>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</si>
  <si>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</si>
  <si>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</si>
  <si>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</si>
  <si>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</si>
  <si>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</si>
  <si>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</si>
  <si>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</si>
  <si>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</si>
  <si>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</si>
  <si>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</si>
  <si>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</si>
  <si>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</si>
  <si>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</si>
  <si>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</si>
  <si>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</si>
  <si>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</si>
  <si>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</si>
  <si>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</si>
  <si>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</si>
  <si>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</si>
  <si>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</si>
  <si>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</si>
  <si>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</si>
  <si>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</si>
  <si>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</si>
  <si>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</si>
  <si>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</si>
  <si>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</si>
  <si>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</si>
  <si>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</si>
  <si>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</si>
  <si>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</si>
  <si>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</si>
  <si>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</si>
  <si>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</t>
  </si>
  <si>
    <t>Age  brackets</t>
  </si>
  <si>
    <t>MALE</t>
  </si>
  <si>
    <t>female</t>
  </si>
  <si>
    <t>male</t>
  </si>
  <si>
    <t>single</t>
  </si>
  <si>
    <t>more than 10 Miles</t>
  </si>
  <si>
    <t>femaleale</t>
  </si>
  <si>
    <t>middle age</t>
  </si>
  <si>
    <t>old</t>
  </si>
  <si>
    <t>Aolsecent</t>
  </si>
  <si>
    <t>Bike Sales Dashboard</t>
  </si>
  <si>
    <t>Average of Income</t>
  </si>
  <si>
    <t>Grand Total</t>
  </si>
  <si>
    <t>Count of Purchased Bike</t>
  </si>
  <si>
    <t>middle age 31-54</t>
  </si>
  <si>
    <t>old 55+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</si>
</sst>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&quot;$&quot;#,##0.00"/>
  </numFmts>
  <fonts count="23">
    <font>
      <sz val="11"/>
      <color theme="1"/>
      <name val="Calibri"/>
      <charset val="0"/>
      <scheme val="minor"/>
    </font>
    <font>
      <sz val="22"/>
      <color theme="1"/>
      <name val="Calibri"/>
      <charset val="0"/>
      <scheme val="minor"/>
    </font>
    <font>
      <sz val="48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theme="1"/>
      <name val="Calibri"/>
      <charset val="0"/>
      <scheme val="minor"/>
    </font>
    <font>
      <sz val="11"/>
      <color indexed="8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 Light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57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5" applyNumberFormat="0" applyAlignment="0" applyProtection="0"/>
    <xf numFmtId="0" fontId="15" fillId="5" borderId="6" applyNumberFormat="0" applyAlignment="0" applyProtection="0"/>
    <xf numFmtId="0" fontId="16" fillId="5" borderId="5" applyNumberFormat="0" applyAlignment="0" applyProtection="0"/>
    <xf numFmtId="0" fontId="17" fillId="6" borderId="7" applyNumberFormat="0" applyAlignment="0" applyProtection="0"/>
    <xf numFmtId="0" fontId="18" fillId="0" borderId="8" applyNumberFormat="0" applyFill="0" applyAlignment="0" applyProtection="0"/>
    <xf numFmtId="0" fontId="3" fillId="0" borderId="9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9">
    <xf numFmtId="0" fontId="0" fillId="0" borderId="0" xfId="0"/>
    <xf numFmtId="180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2" formatCode="&quot;₹&quot;#,##0.00_);[Red]\(&quot;₹&quot;#,##0.00\)"/>
    </dxf>
    <dxf>
      <numFmt numFmtId="183" formatCode="&quot;₹&quot;#,##0.0_);[Red]\(&quot;₹&quot;#,##0.0\)"/>
    </dxf>
    <dxf>
      <numFmt numFmtId="180" formatCode="&quot;₹&quot;#,##0_);[Red]\(&quot;₹&quot;#,##0\)"/>
    </dxf>
  </dxfs>
  <tableStyles count="0" defaultTableStyle="TableStyleMedium2" defaultPivotStyle="PivotStyleLight16"/>
  <colors>
    <mruColors>
      <color rgb="000000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  <a:endParaRPr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306577916992952"/>
          <c:y val="0.09052408568249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'privot table2'!$B$1:$B$2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'privot table2'!$A$3:$A$5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table2'!$B$3:$B$5</c:f>
              <c:numCache>
                <c:formatCode>"₹"#,##0_);[Red]\("₹"#,##0\)</c:formatCode>
                <c:ptCount val="2"/>
                <c:pt idx="0">
                  <c:v>39375</c:v>
                </c:pt>
                <c:pt idx="1">
                  <c:v>40000</c:v>
                </c:pt>
              </c:numCache>
            </c:numRef>
          </c:val>
        </c:ser>
        <c:ser>
          <c:idx val="1"/>
          <c:order val="1"/>
          <c:tx>
            <c:strRef>
              <c:f>'privot table2'!$C$1:$C$2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'privot table2'!$A$3:$A$5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table2'!$C$3:$C$5</c:f>
              <c:numCache>
                <c:formatCode>"₹"#,##0_);[Red]\("₹"#,##0\)</c:formatCode>
                <c:ptCount val="2"/>
                <c:pt idx="0">
                  <c:v>40000</c:v>
                </c:pt>
                <c:pt idx="1">
                  <c:v>35294.1176470588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5679351"/>
        <c:axId val="785988846"/>
      </c:barChart>
      <c:catAx>
        <c:axId val="615679351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988846"/>
        <c:crosses val="autoZero"/>
        <c:auto val="1"/>
        <c:lblAlgn val="ctr"/>
        <c:lblOffset val="100"/>
        <c:noMultiLvlLbl val="0"/>
      </c:catAx>
      <c:valAx>
        <c:axId val="785988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sz="1000" b="0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₹&quot;#,##0_);[Red]\(&quot;₹&quot;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679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839883935637"/>
          <c:y val="0.328348332451032"/>
          <c:w val="0.19925"/>
          <c:h val="0.244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09417a-e92b-45a4-85f5-b58425c01b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  <a:endParaRPr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'privot table2'!$B$21:$B$22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'privot table2'!$A$23:$A$28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table2'!$B$23:$B$28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'privot table2'!$C$21:$C$22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'privot table2'!$A$23:$A$28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table2'!$C$23:$C$28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9866536"/>
        <c:axId val="95125017"/>
      </c:lineChart>
      <c:catAx>
        <c:axId val="8298665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  <a:endParaRPr sz="1000" b="0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125017"/>
        <c:crosses val="autoZero"/>
        <c:auto val="1"/>
        <c:lblAlgn val="ctr"/>
        <c:lblOffset val="100"/>
        <c:noMultiLvlLbl val="0"/>
      </c:catAx>
      <c:valAx>
        <c:axId val="951250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86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d670f1-0ec5-4c10-8be0-bb7c65a247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  <a:endParaRPr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263579090754299"/>
          <c:y val="0.1235806822074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'privot table2'!$D$40:$D$41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'privot table2'!$C$42:$C$45</c:f>
              <c:strCache>
                <c:ptCount val="3"/>
                <c:pt idx="0">
                  <c:v>Aolsecent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'privot table2'!$D$42:$D$45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'privot table2'!$E$40:$E$41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'privot table2'!$C$42:$C$45</c:f>
              <c:strCache>
                <c:ptCount val="3"/>
                <c:pt idx="0">
                  <c:v>Aolsecent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'privot table2'!$E$42:$E$45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25125"/>
        <c:axId val="881909567"/>
      </c:lineChart>
      <c:catAx>
        <c:axId val="255925125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909567"/>
        <c:crosses val="autoZero"/>
        <c:auto val="1"/>
        <c:lblAlgn val="ctr"/>
        <c:lblOffset val="100"/>
        <c:noMultiLvlLbl val="0"/>
      </c:catAx>
      <c:valAx>
        <c:axId val="88190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9251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bafebe-036c-4af9-9b17-9118254224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  <a:endParaRPr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'privot table2'!$B$1:$B$2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'privot table2'!$A$3:$A$5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table2'!$B$3:$B$5</c:f>
              <c:numCache>
                <c:formatCode>"₹"#,##0_);[Red]\("₹"#,##0\)</c:formatCode>
                <c:ptCount val="2"/>
                <c:pt idx="0">
                  <c:v>39375</c:v>
                </c:pt>
                <c:pt idx="1">
                  <c:v>40000</c:v>
                </c:pt>
              </c:numCache>
            </c:numRef>
          </c:val>
        </c:ser>
        <c:ser>
          <c:idx val="1"/>
          <c:order val="1"/>
          <c:tx>
            <c:strRef>
              <c:f>'privot table2'!$C$1:$C$2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'privot table2'!$A$3:$A$5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table2'!$C$3:$C$5</c:f>
              <c:numCache>
                <c:formatCode>"₹"#,##0_);[Red]\("₹"#,##0\)</c:formatCode>
                <c:ptCount val="2"/>
                <c:pt idx="0">
                  <c:v>40000</c:v>
                </c:pt>
                <c:pt idx="1">
                  <c:v>35294.1176470588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7503033"/>
        <c:axId val="550014251"/>
      </c:barChart>
      <c:catAx>
        <c:axId val="697503033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0014251"/>
        <c:crosses val="autoZero"/>
        <c:auto val="1"/>
        <c:lblAlgn val="ctr"/>
        <c:lblOffset val="100"/>
        <c:noMultiLvlLbl val="0"/>
      </c:catAx>
      <c:valAx>
        <c:axId val="5500142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sz="1000" b="0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₹&quot;#,##0_);[Red]\(&quot;₹&quot;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50303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aa6c87-304e-4c0f-b6f7-5005f22424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  <a:endParaRPr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'privot table2'!$B$21:$B$22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'privot table2'!$A$23:$A$28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table2'!$B$23:$B$28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'privot table2'!$C$21:$C$22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'privot table2'!$A$23:$A$28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table2'!$C$23:$C$28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789884"/>
        <c:axId val="994318855"/>
      </c:lineChart>
      <c:catAx>
        <c:axId val="617898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  <a:endParaRPr sz="1000" b="0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318855"/>
        <c:crosses val="autoZero"/>
        <c:auto val="1"/>
        <c:lblAlgn val="ctr"/>
        <c:lblOffset val="100"/>
        <c:noMultiLvlLbl val="0"/>
      </c:catAx>
      <c:valAx>
        <c:axId val="994318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898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fc93b1-00bc-4f10-bc44-3766693a26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  <a:endParaRPr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'privot table2'!$D$40:$D$41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'privot table2'!$C$42:$C$45</c:f>
              <c:strCache>
                <c:ptCount val="3"/>
                <c:pt idx="0">
                  <c:v>Aolsecent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'privot table2'!$D$42:$D$45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'privot table2'!$E$40:$E$41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'privot table2'!$C$42:$C$45</c:f>
              <c:strCache>
                <c:ptCount val="3"/>
                <c:pt idx="0">
                  <c:v>Aolsecent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'privot table2'!$E$42:$E$45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242660"/>
        <c:axId val="900273891"/>
      </c:lineChart>
      <c:catAx>
        <c:axId val="62824266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0273891"/>
        <c:crosses val="autoZero"/>
        <c:auto val="1"/>
        <c:lblAlgn val="ctr"/>
        <c:lblOffset val="100"/>
        <c:noMultiLvlLbl val="0"/>
      </c:catAx>
      <c:valAx>
        <c:axId val="9002738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2426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37fc37-2050-46d0-9b64-8cbfb29d63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Project.xlsx]privot table2!PivotTable9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7763685855429"/>
          <c:y val="0.176099209828468"/>
          <c:w val="0.692057667103539"/>
          <c:h val="0.647891772000335"/>
        </c:manualLayout>
      </c:layout>
      <c:lineChart>
        <c:grouping val="standard"/>
        <c:varyColors val="0"/>
        <c:ser>
          <c:idx val="0"/>
          <c:order val="0"/>
          <c:tx>
            <c:strRef>
              <c:f>'privot table2'!$B$60:$B$61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'privot table2'!$A$62:$A$115</c:f>
              <c:strCache>
                <c:ptCount val="53"/>
                <c:pt idx="0">
                  <c:v>42</c:v>
                </c:pt>
                <c:pt idx="1">
                  <c:v>43</c:v>
                </c:pt>
                <c:pt idx="2">
                  <c:v>60</c:v>
                </c:pt>
                <c:pt idx="3">
                  <c:v>41</c:v>
                </c:pt>
                <c:pt idx="4">
                  <c:v>36</c:v>
                </c:pt>
                <c:pt idx="5">
                  <c:v>50</c:v>
                </c:pt>
                <c:pt idx="6">
                  <c:v>33</c:v>
                </c:pt>
                <c:pt idx="7">
                  <c:v>58</c:v>
                </c:pt>
                <c:pt idx="8">
                  <c:v>40</c:v>
                </c:pt>
                <c:pt idx="9">
                  <c:v>54</c:v>
                </c:pt>
                <c:pt idx="10">
                  <c:v>55</c:v>
                </c:pt>
                <c:pt idx="11">
                  <c:v>35</c:v>
                </c:pt>
                <c:pt idx="12">
                  <c:v>45</c:v>
                </c:pt>
                <c:pt idx="13">
                  <c:v>38</c:v>
                </c:pt>
                <c:pt idx="14">
                  <c:v>59</c:v>
                </c:pt>
                <c:pt idx="15">
                  <c:v>47</c:v>
                </c:pt>
                <c:pt idx="16">
                  <c:v>56</c:v>
                </c:pt>
                <c:pt idx="17">
                  <c:v>34</c:v>
                </c:pt>
                <c:pt idx="18">
                  <c:v>63</c:v>
                </c:pt>
                <c:pt idx="19">
                  <c:v>29</c:v>
                </c:pt>
                <c:pt idx="20">
                  <c:v>44</c:v>
                </c:pt>
                <c:pt idx="21">
                  <c:v>32</c:v>
                </c:pt>
                <c:pt idx="22">
                  <c:v>26</c:v>
                </c:pt>
                <c:pt idx="23">
                  <c:v>31</c:v>
                </c:pt>
                <c:pt idx="24">
                  <c:v>62</c:v>
                </c:pt>
                <c:pt idx="25">
                  <c:v>30</c:v>
                </c:pt>
                <c:pt idx="26">
                  <c:v>28</c:v>
                </c:pt>
                <c:pt idx="27">
                  <c:v>65</c:v>
                </c:pt>
                <c:pt idx="28">
                  <c:v>48</c:v>
                </c:pt>
                <c:pt idx="29">
                  <c:v>66</c:v>
                </c:pt>
                <c:pt idx="30">
                  <c:v>46</c:v>
                </c:pt>
                <c:pt idx="31">
                  <c:v>52</c:v>
                </c:pt>
                <c:pt idx="32">
                  <c:v>39</c:v>
                </c:pt>
                <c:pt idx="33">
                  <c:v>61</c:v>
                </c:pt>
                <c:pt idx="34">
                  <c:v>37</c:v>
                </c:pt>
                <c:pt idx="35">
                  <c:v>68</c:v>
                </c:pt>
                <c:pt idx="36">
                  <c:v>51</c:v>
                </c:pt>
                <c:pt idx="37">
                  <c:v>25</c:v>
                </c:pt>
                <c:pt idx="38">
                  <c:v>49</c:v>
                </c:pt>
                <c:pt idx="39">
                  <c:v>53</c:v>
                </c:pt>
                <c:pt idx="40">
                  <c:v>27</c:v>
                </c:pt>
                <c:pt idx="41">
                  <c:v>67</c:v>
                </c:pt>
                <c:pt idx="42">
                  <c:v>57</c:v>
                </c:pt>
                <c:pt idx="43">
                  <c:v>70</c:v>
                </c:pt>
                <c:pt idx="44">
                  <c:v>78</c:v>
                </c:pt>
                <c:pt idx="45">
                  <c:v>69</c:v>
                </c:pt>
                <c:pt idx="46">
                  <c:v>64</c:v>
                </c:pt>
                <c:pt idx="47">
                  <c:v>89</c:v>
                </c:pt>
                <c:pt idx="48">
                  <c:v>80</c:v>
                </c:pt>
                <c:pt idx="49">
                  <c:v>73</c:v>
                </c:pt>
                <c:pt idx="50">
                  <c:v>74</c:v>
                </c:pt>
                <c:pt idx="51">
                  <c:v>71</c:v>
                </c:pt>
                <c:pt idx="52">
                  <c:v>72</c:v>
                </c:pt>
              </c:strCache>
            </c:strRef>
          </c:cat>
          <c:val>
            <c:numRef>
              <c:f>'privot table2'!$B$62:$B$115</c:f>
              <c:numCache>
                <c:formatCode>General</c:formatCode>
                <c:ptCount val="53"/>
                <c:pt idx="0">
                  <c:v>22</c:v>
                </c:pt>
                <c:pt idx="1">
                  <c:v>17</c:v>
                </c:pt>
                <c:pt idx="2">
                  <c:v>8</c:v>
                </c:pt>
                <c:pt idx="3">
                  <c:v>13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  <c:pt idx="8">
                  <c:v>24</c:v>
                </c:pt>
                <c:pt idx="9">
                  <c:v>5</c:v>
                </c:pt>
                <c:pt idx="10">
                  <c:v>13</c:v>
                </c:pt>
                <c:pt idx="11">
                  <c:v>14</c:v>
                </c:pt>
                <c:pt idx="12">
                  <c:v>18</c:v>
                </c:pt>
                <c:pt idx="13">
                  <c:v>8</c:v>
                </c:pt>
                <c:pt idx="14">
                  <c:v>14</c:v>
                </c:pt>
                <c:pt idx="15">
                  <c:v>19</c:v>
                </c:pt>
                <c:pt idx="16">
                  <c:v>13</c:v>
                </c:pt>
                <c:pt idx="17">
                  <c:v>12</c:v>
                </c:pt>
                <c:pt idx="18">
                  <c:v>7</c:v>
                </c:pt>
                <c:pt idx="19">
                  <c:v>11</c:v>
                </c:pt>
                <c:pt idx="20">
                  <c:v>15</c:v>
                </c:pt>
                <c:pt idx="21">
                  <c:v>19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23</c:v>
                </c:pt>
                <c:pt idx="26">
                  <c:v>12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12</c:v>
                </c:pt>
                <c:pt idx="31">
                  <c:v>10</c:v>
                </c:pt>
                <c:pt idx="32">
                  <c:v>10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10</c:v>
                </c:pt>
                <c:pt idx="37">
                  <c:v>2</c:v>
                </c:pt>
                <c:pt idx="38">
                  <c:v>15</c:v>
                </c:pt>
                <c:pt idx="39">
                  <c:v>11</c:v>
                </c:pt>
                <c:pt idx="40">
                  <c:v>15</c:v>
                </c:pt>
                <c:pt idx="41">
                  <c:v>8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8</c:v>
                </c:pt>
                <c:pt idx="46">
                  <c:v>7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'privot table2'!$C$60:$C$61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'privot table2'!$A$62:$A$115</c:f>
              <c:strCache>
                <c:ptCount val="53"/>
                <c:pt idx="0">
                  <c:v>42</c:v>
                </c:pt>
                <c:pt idx="1">
                  <c:v>43</c:v>
                </c:pt>
                <c:pt idx="2">
                  <c:v>60</c:v>
                </c:pt>
                <c:pt idx="3">
                  <c:v>41</c:v>
                </c:pt>
                <c:pt idx="4">
                  <c:v>36</c:v>
                </c:pt>
                <c:pt idx="5">
                  <c:v>50</c:v>
                </c:pt>
                <c:pt idx="6">
                  <c:v>33</c:v>
                </c:pt>
                <c:pt idx="7">
                  <c:v>58</c:v>
                </c:pt>
                <c:pt idx="8">
                  <c:v>40</c:v>
                </c:pt>
                <c:pt idx="9">
                  <c:v>54</c:v>
                </c:pt>
                <c:pt idx="10">
                  <c:v>55</c:v>
                </c:pt>
                <c:pt idx="11">
                  <c:v>35</c:v>
                </c:pt>
                <c:pt idx="12">
                  <c:v>45</c:v>
                </c:pt>
                <c:pt idx="13">
                  <c:v>38</c:v>
                </c:pt>
                <c:pt idx="14">
                  <c:v>59</c:v>
                </c:pt>
                <c:pt idx="15">
                  <c:v>47</c:v>
                </c:pt>
                <c:pt idx="16">
                  <c:v>56</c:v>
                </c:pt>
                <c:pt idx="17">
                  <c:v>34</c:v>
                </c:pt>
                <c:pt idx="18">
                  <c:v>63</c:v>
                </c:pt>
                <c:pt idx="19">
                  <c:v>29</c:v>
                </c:pt>
                <c:pt idx="20">
                  <c:v>44</c:v>
                </c:pt>
                <c:pt idx="21">
                  <c:v>32</c:v>
                </c:pt>
                <c:pt idx="22">
                  <c:v>26</c:v>
                </c:pt>
                <c:pt idx="23">
                  <c:v>31</c:v>
                </c:pt>
                <c:pt idx="24">
                  <c:v>62</c:v>
                </c:pt>
                <c:pt idx="25">
                  <c:v>30</c:v>
                </c:pt>
                <c:pt idx="26">
                  <c:v>28</c:v>
                </c:pt>
                <c:pt idx="27">
                  <c:v>65</c:v>
                </c:pt>
                <c:pt idx="28">
                  <c:v>48</c:v>
                </c:pt>
                <c:pt idx="29">
                  <c:v>66</c:v>
                </c:pt>
                <c:pt idx="30">
                  <c:v>46</c:v>
                </c:pt>
                <c:pt idx="31">
                  <c:v>52</c:v>
                </c:pt>
                <c:pt idx="32">
                  <c:v>39</c:v>
                </c:pt>
                <c:pt idx="33">
                  <c:v>61</c:v>
                </c:pt>
                <c:pt idx="34">
                  <c:v>37</c:v>
                </c:pt>
                <c:pt idx="35">
                  <c:v>68</c:v>
                </c:pt>
                <c:pt idx="36">
                  <c:v>51</c:v>
                </c:pt>
                <c:pt idx="37">
                  <c:v>25</c:v>
                </c:pt>
                <c:pt idx="38">
                  <c:v>49</c:v>
                </c:pt>
                <c:pt idx="39">
                  <c:v>53</c:v>
                </c:pt>
                <c:pt idx="40">
                  <c:v>27</c:v>
                </c:pt>
                <c:pt idx="41">
                  <c:v>67</c:v>
                </c:pt>
                <c:pt idx="42">
                  <c:v>57</c:v>
                </c:pt>
                <c:pt idx="43">
                  <c:v>70</c:v>
                </c:pt>
                <c:pt idx="44">
                  <c:v>78</c:v>
                </c:pt>
                <c:pt idx="45">
                  <c:v>69</c:v>
                </c:pt>
                <c:pt idx="46">
                  <c:v>64</c:v>
                </c:pt>
                <c:pt idx="47">
                  <c:v>89</c:v>
                </c:pt>
                <c:pt idx="48">
                  <c:v>80</c:v>
                </c:pt>
                <c:pt idx="49">
                  <c:v>73</c:v>
                </c:pt>
                <c:pt idx="50">
                  <c:v>74</c:v>
                </c:pt>
                <c:pt idx="51">
                  <c:v>71</c:v>
                </c:pt>
                <c:pt idx="52">
                  <c:v>72</c:v>
                </c:pt>
              </c:strCache>
            </c:strRef>
          </c:cat>
          <c:val>
            <c:numRef>
              <c:f>'privot table2'!$C$62:$C$115</c:f>
              <c:numCache>
                <c:formatCode>General</c:formatCode>
                <c:ptCount val="53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30</c:v>
                </c:pt>
                <c:pt idx="5">
                  <c:v>12</c:v>
                </c:pt>
                <c:pt idx="6">
                  <c:v>13</c:v>
                </c:pt>
                <c:pt idx="7">
                  <c:v>4</c:v>
                </c:pt>
                <c:pt idx="8">
                  <c:v>18</c:v>
                </c:pt>
                <c:pt idx="9">
                  <c:v>11</c:v>
                </c:pt>
                <c:pt idx="10">
                  <c:v>5</c:v>
                </c:pt>
                <c:pt idx="11">
                  <c:v>22</c:v>
                </c:pt>
                <c:pt idx="12">
                  <c:v>13</c:v>
                </c:pt>
                <c:pt idx="13">
                  <c:v>29</c:v>
                </c:pt>
                <c:pt idx="14">
                  <c:v>6</c:v>
                </c:pt>
                <c:pt idx="15">
                  <c:v>20</c:v>
                </c:pt>
                <c:pt idx="16">
                  <c:v>3</c:v>
                </c:pt>
                <c:pt idx="17">
                  <c:v>19</c:v>
                </c:pt>
                <c:pt idx="18">
                  <c:v>2</c:v>
                </c:pt>
                <c:pt idx="19">
                  <c:v>5</c:v>
                </c:pt>
                <c:pt idx="20">
                  <c:v>12</c:v>
                </c:pt>
                <c:pt idx="21">
                  <c:v>14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4</c:v>
                </c:pt>
                <c:pt idx="26">
                  <c:v>10</c:v>
                </c:pt>
                <c:pt idx="27">
                  <c:v>3</c:v>
                </c:pt>
                <c:pt idx="28">
                  <c:v>13</c:v>
                </c:pt>
                <c:pt idx="29">
                  <c:v>6</c:v>
                </c:pt>
                <c:pt idx="30">
                  <c:v>15</c:v>
                </c:pt>
                <c:pt idx="31">
                  <c:v>15</c:v>
                </c:pt>
                <c:pt idx="32">
                  <c:v>12</c:v>
                </c:pt>
                <c:pt idx="33">
                  <c:v>4</c:v>
                </c:pt>
                <c:pt idx="34">
                  <c:v>28</c:v>
                </c:pt>
                <c:pt idx="36">
                  <c:v>12</c:v>
                </c:pt>
                <c:pt idx="37">
                  <c:v>4</c:v>
                </c:pt>
                <c:pt idx="38">
                  <c:v>8</c:v>
                </c:pt>
                <c:pt idx="39">
                  <c:v>13</c:v>
                </c:pt>
                <c:pt idx="40">
                  <c:v>8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1</c:v>
                </c:pt>
                <c:pt idx="46">
                  <c:v>3</c:v>
                </c:pt>
                <c:pt idx="49">
                  <c:v>2</c:v>
                </c:pt>
                <c:pt idx="50">
                  <c:v>1</c:v>
                </c:pt>
                <c:pt idx="5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821793"/>
        <c:axId val="597258464"/>
      </c:lineChart>
      <c:catAx>
        <c:axId val="3278217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258464"/>
        <c:crosses val="autoZero"/>
        <c:auto val="1"/>
        <c:lblAlgn val="ctr"/>
        <c:lblOffset val="100"/>
        <c:noMultiLvlLbl val="0"/>
      </c:catAx>
      <c:valAx>
        <c:axId val="5972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8217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bf9d3-67a9-443a-93b1-a7a54e7898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207645</xdr:colOff>
      <xdr:row>6</xdr:row>
      <xdr:rowOff>22860</xdr:rowOff>
    </xdr:from>
    <xdr:to>
      <xdr:col>9</xdr:col>
      <xdr:colOff>191135</xdr:colOff>
      <xdr:row>22</xdr:row>
      <xdr:rowOff>121920</xdr:rowOff>
    </xdr:to>
    <xdr:graphicFrame>
      <xdr:nvGraphicFramePr>
        <xdr:cNvPr id="3073" name="Chart 1"/>
        <xdr:cNvGraphicFramePr/>
      </xdr:nvGraphicFramePr>
      <xdr:xfrm>
        <a:off x="1426845" y="1051560"/>
        <a:ext cx="4250690" cy="314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195580</xdr:colOff>
      <xdr:row>23</xdr:row>
      <xdr:rowOff>39370</xdr:rowOff>
    </xdr:from>
    <xdr:to>
      <xdr:col>15</xdr:col>
      <xdr:colOff>39370</xdr:colOff>
      <xdr:row>39</xdr:row>
      <xdr:rowOff>15240</xdr:rowOff>
    </xdr:to>
    <xdr:graphicFrame>
      <xdr:nvGraphicFramePr>
        <xdr:cNvPr id="3074" name="Chart 2"/>
        <xdr:cNvGraphicFramePr/>
      </xdr:nvGraphicFramePr>
      <xdr:xfrm>
        <a:off x="1414780" y="4306570"/>
        <a:ext cx="7768590" cy="302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217805</xdr:colOff>
      <xdr:row>6</xdr:row>
      <xdr:rowOff>31750</xdr:rowOff>
    </xdr:from>
    <xdr:to>
      <xdr:col>14</xdr:col>
      <xdr:colOff>552450</xdr:colOff>
      <xdr:row>22</xdr:row>
      <xdr:rowOff>174625</xdr:rowOff>
    </xdr:to>
    <xdr:graphicFrame>
      <xdr:nvGraphicFramePr>
        <xdr:cNvPr id="3075" name="Chart 3"/>
        <xdr:cNvGraphicFramePr/>
      </xdr:nvGraphicFramePr>
      <xdr:xfrm>
        <a:off x="5704205" y="1060450"/>
        <a:ext cx="3382645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6350</xdr:rowOff>
    </xdr:from>
    <xdr:to>
      <xdr:col>2</xdr:col>
      <xdr:colOff>248920</xdr:colOff>
      <xdr:row>14</xdr:row>
      <xdr:rowOff>13970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035050"/>
              <a:ext cx="1460500" cy="1531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25</xdr:row>
      <xdr:rowOff>72390</xdr:rowOff>
    </xdr:from>
    <xdr:to>
      <xdr:col>2</xdr:col>
      <xdr:colOff>230505</xdr:colOff>
      <xdr:row>38</xdr:row>
      <xdr:rowOff>13970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4720590"/>
              <a:ext cx="1440180" cy="2418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14</xdr:row>
      <xdr:rowOff>51435</xdr:rowOff>
    </xdr:from>
    <xdr:to>
      <xdr:col>2</xdr:col>
      <xdr:colOff>240030</xdr:colOff>
      <xdr:row>25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604135"/>
              <a:ext cx="1449705" cy="2086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27305</xdr:colOff>
      <xdr:row>0</xdr:row>
      <xdr:rowOff>9525</xdr:rowOff>
    </xdr:from>
    <xdr:to>
      <xdr:col>9</xdr:col>
      <xdr:colOff>55880</xdr:colOff>
      <xdr:row>9</xdr:row>
      <xdr:rowOff>98425</xdr:rowOff>
    </xdr:to>
    <xdr:graphicFrame>
      <xdr:nvGraphicFramePr>
        <xdr:cNvPr id="2049" name="Chart 1"/>
        <xdr:cNvGraphicFramePr/>
      </xdr:nvGraphicFramePr>
      <xdr:xfrm>
        <a:off x="4437380" y="9525"/>
        <a:ext cx="4000500" cy="180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144145</xdr:colOff>
      <xdr:row>18</xdr:row>
      <xdr:rowOff>185420</xdr:rowOff>
    </xdr:from>
    <xdr:to>
      <xdr:col>11</xdr:col>
      <xdr:colOff>93980</xdr:colOff>
      <xdr:row>32</xdr:row>
      <xdr:rowOff>24130</xdr:rowOff>
    </xdr:to>
    <xdr:graphicFrame>
      <xdr:nvGraphicFramePr>
        <xdr:cNvPr id="2050" name="Chart 2"/>
        <xdr:cNvGraphicFramePr/>
      </xdr:nvGraphicFramePr>
      <xdr:xfrm>
        <a:off x="4554220" y="3614420"/>
        <a:ext cx="5140960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118110</xdr:colOff>
      <xdr:row>37</xdr:row>
      <xdr:rowOff>20955</xdr:rowOff>
    </xdr:from>
    <xdr:to>
      <xdr:col>13</xdr:col>
      <xdr:colOff>495935</xdr:colOff>
      <xdr:row>51</xdr:row>
      <xdr:rowOff>97790</xdr:rowOff>
    </xdr:to>
    <xdr:graphicFrame>
      <xdr:nvGraphicFramePr>
        <xdr:cNvPr id="2051" name="Chart 3"/>
        <xdr:cNvGraphicFramePr/>
      </xdr:nvGraphicFramePr>
      <xdr:xfrm>
        <a:off x="6490335" y="7069455"/>
        <a:ext cx="482600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833755</xdr:colOff>
      <xdr:row>65</xdr:row>
      <xdr:rowOff>50165</xdr:rowOff>
    </xdr:from>
    <xdr:to>
      <xdr:col>11</xdr:col>
      <xdr:colOff>469265</xdr:colOff>
      <xdr:row>79</xdr:row>
      <xdr:rowOff>125730</xdr:rowOff>
    </xdr:to>
    <xdr:graphicFrame>
      <xdr:nvGraphicFramePr>
        <xdr:cNvPr id="2052" name="Chart 6"/>
        <xdr:cNvGraphicFramePr/>
      </xdr:nvGraphicFramePr>
      <xdr:xfrm>
        <a:off x="5243830" y="12432665"/>
        <a:ext cx="4826635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064.9418634259" refreshedBy="charan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LE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7">
        <s v="0-1 Miles"/>
        <s v="2-5 Miles"/>
        <s v="5-10 Miles"/>
        <s v="1-2 Miles"/>
        <s v="more than 10 Miles"/>
        <s v="10 Miles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 brackets" numFmtId="0">
      <sharedItems count="5">
        <s v="middle age 31-54"/>
        <s v="old 55+"/>
        <s v="Aolsecent"/>
        <s v="middle age" u="1"/>
        <s v="ol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0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0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0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0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0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0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0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0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0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0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0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8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8">
        <item x="0"/>
        <item m="1" x="5"/>
        <item m="1" x="6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h="1"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6">
        <item x="2"/>
        <item m="1" x="3"/>
        <item x="0"/>
        <item m="1" x="4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1:D2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showAll="0"/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/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40:F45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6">
        <item x="2"/>
        <item m="1" x="3"/>
        <item m="1" x="4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0:D115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6">
        <item x="2"/>
        <item m="1" x="3"/>
        <item m="1" x="4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PivotTable4"/>
  </pivotTables>
  <data>
    <tabular pivotCacheId="1">
      <items count="3">
        <i x="0" s="1"/>
        <i x="2" s="0"/>
        <i x="1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6" name="PivotTable4"/>
  </pivotTables>
  <data>
    <tabular pivotCacheId="1">
      <items count="5">
        <i x="0" s="1"/>
        <i x="4" s="0"/>
        <i x="2" s="0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6" name="PivotTable4"/>
  </pivotTables>
  <data>
    <tabular pivotCacheId="1">
      <items count="2"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ables/table1.xml><?xml version="1.0" encoding="utf-8"?>
<table xmlns="http://schemas.openxmlformats.org/spreadsheetml/2006/main" id="1" name="Table1" displayName="Table1" ref="A1:N240" totalsRowShown="0">
  <autoFilter xmlns:etc="http://www.wps.cn/officeDocument/2017/etCustomData" ref="A1:N240" etc:filterBottomFollowUsedRange="0"/>
  <tableColumns count="14">
    <tableColumn id="1" name="ID"/>
    <tableColumn id="2" name="marital status"/>
    <tableColumn id="3" name="Gender"/>
    <tableColumn id="4" name="Income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 brackets"/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156" zoomScaleNormal="156" topLeftCell="E35" workbookViewId="0">
      <selection activeCell="B998" sqref="B998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8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8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8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8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8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8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8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8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8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8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8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8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8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8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8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8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8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8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8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8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8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8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8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8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8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L1" workbookViewId="0">
      <selection activeCell="P12" sqref="P12"/>
    </sheetView>
  </sheetViews>
  <sheetFormatPr defaultColWidth="16.4285714285714" defaultRowHeight="15"/>
  <cols>
    <col min="1" max="3" width="16.4285714285714" customWidth="1"/>
    <col min="4" max="4" width="16.4285714285714" style="1" customWidth="1"/>
    <col min="5" max="16384" width="16.4285714285714" customWidth="1"/>
  </cols>
  <sheetData>
    <row r="1" spans="1:14">
      <c r="A1" t="s">
        <v>0</v>
      </c>
      <c r="B1" t="s">
        <v>36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IF(L2&gt;55,"old 55+",IF(L2&gt;=31,"middle age 31-54",IF(L2&lt;31,"Aolsecent","invalid")))</f>
        <v>middle age 31-54</v>
      </c>
      <c r="N2" t="s">
        <v>20</v>
      </c>
    </row>
    <row r="3" spans="1:14">
      <c r="A3">
        <v>24107</v>
      </c>
      <c r="B3" t="s">
        <v>38</v>
      </c>
      <c r="C3" t="s">
        <v>40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IF(L3&gt;55,"old 55+",IF(L3&gt;=31,"middle age 31-54",IF(L3&lt;31,"Aolsecent","invalid")))</f>
        <v>middle age 31-54</v>
      </c>
      <c r="N3" t="s">
        <v>20</v>
      </c>
    </row>
    <row r="4" spans="1:14">
      <c r="A4">
        <v>14177</v>
      </c>
      <c r="B4" t="s">
        <v>38</v>
      </c>
      <c r="C4" t="s">
        <v>40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 55+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 31-54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 31-54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 31-54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 31-54</v>
      </c>
      <c r="N8" t="s">
        <v>17</v>
      </c>
    </row>
    <row r="9" spans="1:14">
      <c r="A9">
        <v>19364</v>
      </c>
      <c r="B9" t="s">
        <v>38</v>
      </c>
      <c r="C9" t="s">
        <v>40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 31-54</v>
      </c>
      <c r="N9" t="s">
        <v>17</v>
      </c>
    </row>
    <row r="10" spans="1:14">
      <c r="A10">
        <v>22155</v>
      </c>
      <c r="B10" t="s">
        <v>38</v>
      </c>
      <c r="C10" t="s">
        <v>40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 55+</v>
      </c>
      <c r="N10" t="s">
        <v>20</v>
      </c>
    </row>
    <row r="11" spans="1:14">
      <c r="A11">
        <v>19280</v>
      </c>
      <c r="B11" t="s">
        <v>38</v>
      </c>
      <c r="C11" t="s">
        <v>40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 31-54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 31-54</v>
      </c>
      <c r="N12" t="s">
        <v>17</v>
      </c>
    </row>
    <row r="13" spans="1:14">
      <c r="A13">
        <v>12697</v>
      </c>
      <c r="B13" t="s">
        <v>41</v>
      </c>
      <c r="C13" t="s">
        <v>39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middle age 31-54</v>
      </c>
      <c r="N13" t="s">
        <v>20</v>
      </c>
    </row>
    <row r="14" spans="1:14">
      <c r="A14">
        <v>11434</v>
      </c>
      <c r="B14" t="s">
        <v>38</v>
      </c>
      <c r="C14" t="s">
        <v>40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 31-54</v>
      </c>
      <c r="N14" t="s">
        <v>20</v>
      </c>
    </row>
    <row r="15" spans="1:14">
      <c r="A15">
        <v>25323</v>
      </c>
      <c r="B15" t="s">
        <v>38</v>
      </c>
      <c r="C15" t="s">
        <v>40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 31-54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 31-54</v>
      </c>
      <c r="N16" t="s">
        <v>17</v>
      </c>
    </row>
    <row r="17" spans="1:14">
      <c r="A17">
        <v>20870</v>
      </c>
      <c r="B17" t="s">
        <v>41</v>
      </c>
      <c r="C17" t="s">
        <v>39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 31-54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 55+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 31-54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 31-54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 31-54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 31-54</v>
      </c>
      <c r="N22" t="s">
        <v>17</v>
      </c>
    </row>
    <row r="23" spans="1:14">
      <c r="A23">
        <v>21564</v>
      </c>
      <c r="B23" t="s">
        <v>41</v>
      </c>
      <c r="C23" t="s">
        <v>39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 t="shared" si="0"/>
        <v>middle age 31-54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 31-54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 55+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 31-54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 55+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Aolsecent</v>
      </c>
      <c r="N28" t="s">
        <v>17</v>
      </c>
    </row>
    <row r="29" spans="1:14">
      <c r="A29">
        <v>18283</v>
      </c>
      <c r="B29" t="s">
        <v>41</v>
      </c>
      <c r="C29" t="s">
        <v>39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 31-54</v>
      </c>
      <c r="N29" t="s">
        <v>20</v>
      </c>
    </row>
    <row r="30" spans="1:14">
      <c r="A30">
        <v>18299</v>
      </c>
      <c r="B30" t="s">
        <v>38</v>
      </c>
      <c r="C30" t="s">
        <v>40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 31-54</v>
      </c>
      <c r="N30" t="s">
        <v>20</v>
      </c>
    </row>
    <row r="31" spans="1:14">
      <c r="A31">
        <v>16466</v>
      </c>
      <c r="B31" t="s">
        <v>41</v>
      </c>
      <c r="C31" t="s">
        <v>39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 31-54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 55+</v>
      </c>
      <c r="N32" t="s">
        <v>20</v>
      </c>
    </row>
    <row r="33" spans="1:14">
      <c r="A33">
        <v>22400</v>
      </c>
      <c r="B33" t="s">
        <v>38</v>
      </c>
      <c r="C33" t="s">
        <v>40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Aolsecent</v>
      </c>
      <c r="N33" t="s">
        <v>17</v>
      </c>
    </row>
    <row r="34" spans="1:14">
      <c r="A34">
        <v>20942</v>
      </c>
      <c r="B34" t="s">
        <v>41</v>
      </c>
      <c r="C34" t="s">
        <v>39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 31-54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 31-54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 55+</v>
      </c>
      <c r="N36" t="s">
        <v>17</v>
      </c>
    </row>
    <row r="37" spans="1:14">
      <c r="A37">
        <v>28380</v>
      </c>
      <c r="B37" t="s">
        <v>41</v>
      </c>
      <c r="C37" t="s">
        <v>39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 31-54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 31-54</v>
      </c>
      <c r="N38" t="s">
        <v>17</v>
      </c>
    </row>
    <row r="39" spans="1:14">
      <c r="A39">
        <v>27832</v>
      </c>
      <c r="B39" t="s">
        <v>41</v>
      </c>
      <c r="C39" t="s">
        <v>39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Aolsecent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Aolsecent</v>
      </c>
      <c r="N40" t="s">
        <v>20</v>
      </c>
    </row>
    <row r="41" spans="1:14">
      <c r="A41">
        <v>16259</v>
      </c>
      <c r="B41" t="s">
        <v>41</v>
      </c>
      <c r="C41" t="s">
        <v>39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 31-54</v>
      </c>
      <c r="N41" t="s">
        <v>17</v>
      </c>
    </row>
    <row r="42" spans="1:14">
      <c r="A42">
        <v>27803</v>
      </c>
      <c r="B42" t="s">
        <v>41</v>
      </c>
      <c r="C42" t="s">
        <v>39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 31-54</v>
      </c>
      <c r="N42" t="s">
        <v>20</v>
      </c>
    </row>
    <row r="43" spans="1:14">
      <c r="A43">
        <v>14347</v>
      </c>
      <c r="B43" t="s">
        <v>41</v>
      </c>
      <c r="C43" t="s">
        <v>39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 55+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 31-54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 31-54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 31-54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 55+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 31-54</v>
      </c>
      <c r="N48" t="s">
        <v>17</v>
      </c>
    </row>
    <row r="49" spans="1:14">
      <c r="A49">
        <v>29097</v>
      </c>
      <c r="B49" t="s">
        <v>41</v>
      </c>
      <c r="C49" t="s">
        <v>39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 31-54</v>
      </c>
      <c r="N49" t="s">
        <v>17</v>
      </c>
    </row>
    <row r="50" spans="1:14">
      <c r="A50">
        <v>19487</v>
      </c>
      <c r="B50" t="s">
        <v>38</v>
      </c>
      <c r="C50" t="s">
        <v>40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 31-54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 31-54</v>
      </c>
      <c r="N51" t="s">
        <v>17</v>
      </c>
    </row>
    <row r="52" spans="1:14">
      <c r="A52">
        <v>13826</v>
      </c>
      <c r="B52" t="s">
        <v>41</v>
      </c>
      <c r="C52" t="s">
        <v>39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Aolsecent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 t="shared" si="0"/>
        <v>middle age 31-54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 55+</v>
      </c>
      <c r="N54" t="s">
        <v>20</v>
      </c>
    </row>
    <row r="55" spans="1:14">
      <c r="A55">
        <v>24871</v>
      </c>
      <c r="B55" t="s">
        <v>41</v>
      </c>
      <c r="C55" t="s">
        <v>39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 55+</v>
      </c>
      <c r="N55" t="s">
        <v>20</v>
      </c>
    </row>
    <row r="56" spans="1:14">
      <c r="A56">
        <v>17319</v>
      </c>
      <c r="B56" t="s">
        <v>41</v>
      </c>
      <c r="C56" t="s">
        <v>39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 31-54</v>
      </c>
      <c r="N56" t="s">
        <v>20</v>
      </c>
    </row>
    <row r="57" spans="1:14">
      <c r="A57">
        <v>28906</v>
      </c>
      <c r="B57" t="s">
        <v>38</v>
      </c>
      <c r="C57" t="s">
        <v>40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 t="shared" si="0"/>
        <v>middle age 31-54</v>
      </c>
      <c r="N57" t="s">
        <v>20</v>
      </c>
    </row>
    <row r="58" spans="1:14">
      <c r="A58">
        <v>12808</v>
      </c>
      <c r="B58" t="s">
        <v>38</v>
      </c>
      <c r="C58" t="s">
        <v>40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 31-54</v>
      </c>
      <c r="N58" t="s">
        <v>17</v>
      </c>
    </row>
    <row r="59" spans="1:14">
      <c r="A59">
        <v>20567</v>
      </c>
      <c r="B59" t="s">
        <v>38</v>
      </c>
      <c r="C59" t="s">
        <v>40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 55+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 31-54</v>
      </c>
      <c r="N60" t="s">
        <v>17</v>
      </c>
    </row>
    <row r="61" spans="1:14">
      <c r="A61">
        <v>15580</v>
      </c>
      <c r="B61" t="s">
        <v>38</v>
      </c>
      <c r="C61" t="s">
        <v>40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 31-54</v>
      </c>
      <c r="N61" t="s">
        <v>17</v>
      </c>
    </row>
    <row r="62" spans="1:14">
      <c r="A62">
        <v>24185</v>
      </c>
      <c r="B62" t="s">
        <v>41</v>
      </c>
      <c r="C62" t="s">
        <v>39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 31-54</v>
      </c>
      <c r="N62" t="s">
        <v>20</v>
      </c>
    </row>
    <row r="63" spans="1:14">
      <c r="A63">
        <v>19291</v>
      </c>
      <c r="B63" t="s">
        <v>41</v>
      </c>
      <c r="C63" t="s">
        <v>39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 31-54</v>
      </c>
      <c r="N63" t="s">
        <v>20</v>
      </c>
    </row>
    <row r="64" spans="1:14">
      <c r="A64">
        <v>16713</v>
      </c>
      <c r="B64" t="s">
        <v>38</v>
      </c>
      <c r="C64" t="s">
        <v>40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 31-54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 t="shared" si="0"/>
        <v>middle age 31-54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 31-54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IF(L67&gt;55,"old 55+",IF(L67&gt;=31,"middle age 31-54",IF(L67&lt;31,"Aolsecent","invalid")))</f>
        <v>old 55+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 31-54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 31-54</v>
      </c>
      <c r="N69" t="s">
        <v>17</v>
      </c>
    </row>
    <row r="70" spans="1:14">
      <c r="A70">
        <v>14813</v>
      </c>
      <c r="B70" t="s">
        <v>41</v>
      </c>
      <c r="C70" t="s">
        <v>39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 31-54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Aolsecent</v>
      </c>
      <c r="N71" t="s">
        <v>20</v>
      </c>
    </row>
    <row r="72" spans="1:14">
      <c r="A72">
        <v>14238</v>
      </c>
      <c r="B72" t="s">
        <v>38</v>
      </c>
      <c r="C72" t="s">
        <v>40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 t="shared" si="1"/>
        <v>middle age 31-54</v>
      </c>
      <c r="N72" t="s">
        <v>17</v>
      </c>
    </row>
    <row r="73" spans="1:14">
      <c r="A73">
        <v>16200</v>
      </c>
      <c r="B73" t="s">
        <v>41</v>
      </c>
      <c r="C73" t="s">
        <v>39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 31-54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 31-54</v>
      </c>
      <c r="N74" t="s">
        <v>20</v>
      </c>
    </row>
    <row r="75" spans="1:14">
      <c r="A75">
        <v>26956</v>
      </c>
      <c r="B75" t="s">
        <v>41</v>
      </c>
      <c r="C75" t="s">
        <v>39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 31-54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 55+</v>
      </c>
      <c r="N76" t="s">
        <v>20</v>
      </c>
    </row>
    <row r="77" spans="1:14">
      <c r="A77">
        <v>12678</v>
      </c>
      <c r="B77" t="s">
        <v>41</v>
      </c>
      <c r="C77" t="s">
        <v>39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 31-54</v>
      </c>
      <c r="N77" t="s">
        <v>20</v>
      </c>
    </row>
    <row r="78" spans="1:14">
      <c r="A78">
        <v>16188</v>
      </c>
      <c r="B78" t="s">
        <v>41</v>
      </c>
      <c r="C78" t="s">
        <v>39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Aolsecent</v>
      </c>
      <c r="N78" t="s">
        <v>20</v>
      </c>
    </row>
    <row r="79" spans="1:14">
      <c r="A79">
        <v>27969</v>
      </c>
      <c r="B79" t="s">
        <v>38</v>
      </c>
      <c r="C79" t="s">
        <v>40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 t="shared" si="1"/>
        <v>Aolsecent</v>
      </c>
      <c r="N79" t="s">
        <v>17</v>
      </c>
    </row>
    <row r="80" spans="1:14">
      <c r="A80">
        <v>15752</v>
      </c>
      <c r="B80" t="s">
        <v>38</v>
      </c>
      <c r="C80" t="s">
        <v>40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 31-54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 55+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 31-54</v>
      </c>
      <c r="N82" t="s">
        <v>17</v>
      </c>
    </row>
    <row r="83" spans="1:14">
      <c r="A83">
        <v>19461</v>
      </c>
      <c r="B83" t="s">
        <v>41</v>
      </c>
      <c r="C83" t="s">
        <v>39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 31-54</v>
      </c>
      <c r="N83" t="s">
        <v>20</v>
      </c>
    </row>
    <row r="84" spans="1:14">
      <c r="A84">
        <v>26941</v>
      </c>
      <c r="B84" t="s">
        <v>38</v>
      </c>
      <c r="C84" t="s">
        <v>40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 31-54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Aolsecent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 31-54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Aolsecent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 31-54</v>
      </c>
      <c r="N88" t="s">
        <v>17</v>
      </c>
    </row>
    <row r="89" spans="1:14">
      <c r="A89">
        <v>19608</v>
      </c>
      <c r="B89" t="s">
        <v>38</v>
      </c>
      <c r="C89" t="s">
        <v>40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 31-54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Aolsecent</v>
      </c>
      <c r="N90" t="s">
        <v>20</v>
      </c>
    </row>
    <row r="91" spans="1:14">
      <c r="A91">
        <v>25458</v>
      </c>
      <c r="B91" t="s">
        <v>38</v>
      </c>
      <c r="C91" t="s">
        <v>40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 31-54</v>
      </c>
      <c r="N91" t="s">
        <v>17</v>
      </c>
    </row>
    <row r="92" spans="1:14">
      <c r="A92">
        <v>26886</v>
      </c>
      <c r="B92" t="s">
        <v>41</v>
      </c>
      <c r="C92" t="s">
        <v>39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Aolsecent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Aolsecent</v>
      </c>
      <c r="N93" t="s">
        <v>17</v>
      </c>
    </row>
    <row r="94" spans="1:14">
      <c r="A94">
        <v>19562</v>
      </c>
      <c r="B94" t="s">
        <v>41</v>
      </c>
      <c r="C94" t="s">
        <v>39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 31-54</v>
      </c>
      <c r="N94" t="s">
        <v>17</v>
      </c>
    </row>
    <row r="95" spans="1:14">
      <c r="A95">
        <v>15608</v>
      </c>
      <c r="B95" t="s">
        <v>41</v>
      </c>
      <c r="C95" t="s">
        <v>39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 31-54</v>
      </c>
      <c r="N95" t="s">
        <v>20</v>
      </c>
    </row>
    <row r="96" spans="1:14">
      <c r="A96">
        <v>16487</v>
      </c>
      <c r="B96" t="s">
        <v>41</v>
      </c>
      <c r="C96" t="s">
        <v>39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 31-54</v>
      </c>
      <c r="N96" t="s">
        <v>20</v>
      </c>
    </row>
    <row r="97" spans="1:14">
      <c r="A97">
        <v>17197</v>
      </c>
      <c r="B97" t="s">
        <v>41</v>
      </c>
      <c r="C97" t="s">
        <v>39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 t="shared" si="1"/>
        <v>old 55+</v>
      </c>
      <c r="N97" t="s">
        <v>20</v>
      </c>
    </row>
    <row r="98" spans="1:14">
      <c r="A98">
        <v>12507</v>
      </c>
      <c r="B98" t="s">
        <v>38</v>
      </c>
      <c r="C98" t="s">
        <v>40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 31-54</v>
      </c>
      <c r="N98" t="s">
        <v>20</v>
      </c>
    </row>
    <row r="99" spans="1:14">
      <c r="A99">
        <v>23940</v>
      </c>
      <c r="B99" t="s">
        <v>38</v>
      </c>
      <c r="C99" t="s">
        <v>40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 31-54</v>
      </c>
      <c r="N99" t="s">
        <v>17</v>
      </c>
    </row>
    <row r="100" spans="1:14">
      <c r="A100">
        <v>19441</v>
      </c>
      <c r="B100" t="s">
        <v>38</v>
      </c>
      <c r="C100" t="s">
        <v>40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Aolsecent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 31-54</v>
      </c>
      <c r="N101" t="s">
        <v>20</v>
      </c>
    </row>
    <row r="102" spans="1:14">
      <c r="A102">
        <v>12274</v>
      </c>
      <c r="B102" t="s">
        <v>41</v>
      </c>
      <c r="C102" t="s">
        <v>40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 31-54</v>
      </c>
      <c r="N102" t="s">
        <v>20</v>
      </c>
    </row>
    <row r="103" spans="1:14">
      <c r="A103">
        <v>20236</v>
      </c>
      <c r="B103" t="s">
        <v>41</v>
      </c>
      <c r="C103" t="s">
        <v>40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 31-54</v>
      </c>
      <c r="N103" t="s">
        <v>17</v>
      </c>
    </row>
    <row r="104" spans="1:14">
      <c r="A104">
        <v>24149</v>
      </c>
      <c r="B104" t="s">
        <v>38</v>
      </c>
      <c r="C104" t="s">
        <v>40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 31-54</v>
      </c>
      <c r="N104" t="s">
        <v>20</v>
      </c>
    </row>
    <row r="105" spans="1:14">
      <c r="A105">
        <v>26139</v>
      </c>
      <c r="B105" t="s">
        <v>41</v>
      </c>
      <c r="C105" t="s">
        <v>40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 31-54</v>
      </c>
      <c r="N105" t="s">
        <v>20</v>
      </c>
    </row>
    <row r="106" spans="1:14">
      <c r="A106">
        <v>18491</v>
      </c>
      <c r="B106" t="s">
        <v>41</v>
      </c>
      <c r="C106" t="s">
        <v>39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 31-54</v>
      </c>
      <c r="N106" t="s">
        <v>17</v>
      </c>
    </row>
    <row r="107" spans="1:14">
      <c r="A107">
        <v>22707</v>
      </c>
      <c r="B107" t="s">
        <v>41</v>
      </c>
      <c r="C107" t="s">
        <v>39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Aolsecent</v>
      </c>
      <c r="N107" t="s">
        <v>20</v>
      </c>
    </row>
    <row r="108" spans="1:14">
      <c r="A108">
        <v>20430</v>
      </c>
      <c r="B108" t="s">
        <v>38</v>
      </c>
      <c r="C108" t="s">
        <v>40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 31-54</v>
      </c>
      <c r="N108" t="s">
        <v>17</v>
      </c>
    </row>
    <row r="109" spans="1:14">
      <c r="A109">
        <v>27494</v>
      </c>
      <c r="B109" t="s">
        <v>41</v>
      </c>
      <c r="C109" t="s">
        <v>39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 31-54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 31-54</v>
      </c>
      <c r="N110" t="s">
        <v>17</v>
      </c>
    </row>
    <row r="111" spans="1:14">
      <c r="A111">
        <v>28395</v>
      </c>
      <c r="B111" t="s">
        <v>41</v>
      </c>
      <c r="C111" t="s">
        <v>40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 31-54</v>
      </c>
      <c r="N111" t="s">
        <v>17</v>
      </c>
    </row>
    <row r="112" spans="1:14">
      <c r="A112">
        <v>21006</v>
      </c>
      <c r="B112" t="s">
        <v>41</v>
      </c>
      <c r="C112" t="s">
        <v>39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 31-54</v>
      </c>
      <c r="N112" t="s">
        <v>17</v>
      </c>
    </row>
    <row r="113" spans="1:14">
      <c r="A113">
        <v>14682</v>
      </c>
      <c r="B113" t="s">
        <v>41</v>
      </c>
      <c r="C113" t="s">
        <v>39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 31-54</v>
      </c>
      <c r="N113" t="s">
        <v>20</v>
      </c>
    </row>
    <row r="114" spans="1:14">
      <c r="A114">
        <v>17650</v>
      </c>
      <c r="B114" t="s">
        <v>41</v>
      </c>
      <c r="C114" t="s">
        <v>39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 31-54</v>
      </c>
      <c r="N114" t="s">
        <v>20</v>
      </c>
    </row>
    <row r="115" spans="1:14">
      <c r="A115">
        <v>29191</v>
      </c>
      <c r="B115" t="s">
        <v>41</v>
      </c>
      <c r="C115" t="s">
        <v>39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 31-54</v>
      </c>
      <c r="N115" t="s">
        <v>17</v>
      </c>
    </row>
    <row r="116" spans="1:14">
      <c r="A116">
        <v>15030</v>
      </c>
      <c r="B116" t="s">
        <v>38</v>
      </c>
      <c r="C116" t="s">
        <v>40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Aolsecent</v>
      </c>
      <c r="N116" t="s">
        <v>17</v>
      </c>
    </row>
    <row r="117" spans="1:14">
      <c r="A117">
        <v>24140</v>
      </c>
      <c r="B117" t="s">
        <v>41</v>
      </c>
      <c r="C117" t="s">
        <v>40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Aolsecent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 31-54</v>
      </c>
      <c r="N118" t="s">
        <v>20</v>
      </c>
    </row>
    <row r="119" spans="1:14">
      <c r="A119">
        <v>24065</v>
      </c>
      <c r="B119" t="s">
        <v>41</v>
      </c>
      <c r="C119" t="s">
        <v>39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 31-54</v>
      </c>
      <c r="N119" t="s">
        <v>17</v>
      </c>
    </row>
    <row r="120" spans="1:14">
      <c r="A120">
        <v>19914</v>
      </c>
      <c r="B120" t="s">
        <v>38</v>
      </c>
      <c r="C120" t="s">
        <v>40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 55+</v>
      </c>
      <c r="N120" t="s">
        <v>20</v>
      </c>
    </row>
    <row r="121" spans="1:14">
      <c r="A121">
        <v>12871</v>
      </c>
      <c r="B121" t="s">
        <v>41</v>
      </c>
      <c r="C121" t="s">
        <v>39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Aolsecent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 55+</v>
      </c>
      <c r="N122" t="s">
        <v>17</v>
      </c>
    </row>
    <row r="123" spans="1:14">
      <c r="A123">
        <v>15922</v>
      </c>
      <c r="B123" t="s">
        <v>38</v>
      </c>
      <c r="C123" t="s">
        <v>40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 31-54</v>
      </c>
      <c r="N123" t="s">
        <v>20</v>
      </c>
    </row>
    <row r="124" spans="1:14">
      <c r="A124">
        <v>12344</v>
      </c>
      <c r="B124" t="s">
        <v>41</v>
      </c>
      <c r="C124" t="s">
        <v>39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42</v>
      </c>
      <c r="K124" t="s">
        <v>27</v>
      </c>
      <c r="L124">
        <v>31</v>
      </c>
      <c r="M124" t="str">
        <f t="shared" si="1"/>
        <v>middle age 31-54</v>
      </c>
      <c r="N124" t="s">
        <v>20</v>
      </c>
    </row>
    <row r="125" spans="1:14">
      <c r="A125">
        <v>23627</v>
      </c>
      <c r="B125" t="s">
        <v>41</v>
      </c>
      <c r="C125" t="s">
        <v>39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 55+</v>
      </c>
      <c r="N125" t="s">
        <v>20</v>
      </c>
    </row>
    <row r="126" spans="1:14">
      <c r="A126">
        <v>27775</v>
      </c>
      <c r="B126" t="s">
        <v>41</v>
      </c>
      <c r="C126" t="s">
        <v>39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 31-54</v>
      </c>
      <c r="N126" t="s">
        <v>17</v>
      </c>
    </row>
    <row r="127" spans="1:14">
      <c r="A127">
        <v>29301</v>
      </c>
      <c r="B127" t="s">
        <v>38</v>
      </c>
      <c r="C127" t="s">
        <v>40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 31-54</v>
      </c>
      <c r="N127" t="s">
        <v>20</v>
      </c>
    </row>
    <row r="128" spans="1:14">
      <c r="A128">
        <v>12716</v>
      </c>
      <c r="B128" t="s">
        <v>41</v>
      </c>
      <c r="C128" t="s">
        <v>40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 31-54</v>
      </c>
      <c r="N128" t="s">
        <v>20</v>
      </c>
    </row>
    <row r="129" spans="1:14">
      <c r="A129">
        <v>12472</v>
      </c>
      <c r="B129" t="s">
        <v>38</v>
      </c>
      <c r="C129" t="s">
        <v>40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 31-54</v>
      </c>
      <c r="N129" t="s">
        <v>20</v>
      </c>
    </row>
    <row r="130" spans="1:14">
      <c r="A130">
        <v>20970</v>
      </c>
      <c r="B130" t="s">
        <v>41</v>
      </c>
      <c r="C130" t="s">
        <v>40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 31-54</v>
      </c>
      <c r="N130" t="s">
        <v>17</v>
      </c>
    </row>
    <row r="131" spans="1:14">
      <c r="A131">
        <v>26818</v>
      </c>
      <c r="B131" t="s">
        <v>41</v>
      </c>
      <c r="C131" t="s">
        <v>40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IF(L131&gt;55,"old 55+",IF(L131&gt;=31,"middle age 31-54",IF(L131&lt;31,"Aolsecent","invalid")))</f>
        <v>middle age 31-54</v>
      </c>
      <c r="N131" t="s">
        <v>17</v>
      </c>
    </row>
    <row r="132" spans="1:14">
      <c r="A132">
        <v>12993</v>
      </c>
      <c r="B132" t="s">
        <v>38</v>
      </c>
      <c r="C132" t="s">
        <v>40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 31-54</v>
      </c>
      <c r="N132" t="s">
        <v>20</v>
      </c>
    </row>
    <row r="133" spans="1:14">
      <c r="A133">
        <v>14192</v>
      </c>
      <c r="B133" t="s">
        <v>38</v>
      </c>
      <c r="C133" t="s">
        <v>40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 55+</v>
      </c>
      <c r="N133" t="s">
        <v>17</v>
      </c>
    </row>
    <row r="134" spans="1:14">
      <c r="A134">
        <v>19477</v>
      </c>
      <c r="B134" t="s">
        <v>38</v>
      </c>
      <c r="C134" t="s">
        <v>40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 31-54</v>
      </c>
      <c r="N134" t="s">
        <v>17</v>
      </c>
    </row>
    <row r="135" spans="1:14">
      <c r="A135">
        <v>26796</v>
      </c>
      <c r="B135" t="s">
        <v>41</v>
      </c>
      <c r="C135" t="s">
        <v>40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 55+</v>
      </c>
      <c r="N135" t="s">
        <v>17</v>
      </c>
    </row>
    <row r="136" spans="1:14">
      <c r="A136">
        <v>21094</v>
      </c>
      <c r="B136" t="s">
        <v>41</v>
      </c>
      <c r="C136" t="s">
        <v>39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 31-54</v>
      </c>
      <c r="N136" t="s">
        <v>20</v>
      </c>
    </row>
    <row r="137" spans="1:14">
      <c r="A137">
        <v>12234</v>
      </c>
      <c r="B137" t="s">
        <v>38</v>
      </c>
      <c r="C137" t="s">
        <v>40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 31-54</v>
      </c>
      <c r="N137" t="s">
        <v>20</v>
      </c>
    </row>
    <row r="138" spans="1:14">
      <c r="A138">
        <v>28683</v>
      </c>
      <c r="B138" t="s">
        <v>41</v>
      </c>
      <c r="C138" t="s">
        <v>39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 31-54</v>
      </c>
      <c r="N138" t="s">
        <v>17</v>
      </c>
    </row>
    <row r="139" spans="1:14">
      <c r="A139">
        <v>17994</v>
      </c>
      <c r="B139" t="s">
        <v>41</v>
      </c>
      <c r="C139" t="s">
        <v>40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 31-54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 31-54</v>
      </c>
      <c r="N140" t="s">
        <v>17</v>
      </c>
    </row>
    <row r="141" spans="1:14">
      <c r="A141">
        <v>26547</v>
      </c>
      <c r="B141" t="s">
        <v>41</v>
      </c>
      <c r="C141" t="s">
        <v>39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 55+</v>
      </c>
      <c r="N141" t="s">
        <v>17</v>
      </c>
    </row>
    <row r="142" spans="1:14">
      <c r="A142">
        <v>22500</v>
      </c>
      <c r="B142" t="s">
        <v>41</v>
      </c>
      <c r="C142" t="s">
        <v>40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 31-54</v>
      </c>
      <c r="N142" t="s">
        <v>17</v>
      </c>
    </row>
    <row r="143" spans="1:14">
      <c r="A143">
        <v>23993</v>
      </c>
      <c r="B143" t="s">
        <v>41</v>
      </c>
      <c r="C143" t="s">
        <v>39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Aolsecent</v>
      </c>
      <c r="N143" t="s">
        <v>17</v>
      </c>
    </row>
    <row r="144" spans="1:14">
      <c r="A144">
        <v>14832</v>
      </c>
      <c r="B144" t="s">
        <v>38</v>
      </c>
      <c r="C144" t="s">
        <v>40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 31-54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42</v>
      </c>
      <c r="K145" t="s">
        <v>27</v>
      </c>
      <c r="L145">
        <v>32</v>
      </c>
      <c r="M145" t="str">
        <f t="shared" si="2"/>
        <v>middle age 31-54</v>
      </c>
      <c r="N145" t="s">
        <v>20</v>
      </c>
    </row>
    <row r="146" spans="1:14">
      <c r="A146">
        <v>20877</v>
      </c>
      <c r="B146" t="s">
        <v>41</v>
      </c>
      <c r="C146" t="s">
        <v>40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 31-54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 31-54</v>
      </c>
      <c r="N147" t="s">
        <v>20</v>
      </c>
    </row>
    <row r="148" spans="1:14">
      <c r="A148">
        <v>22464</v>
      </c>
      <c r="B148" t="s">
        <v>38</v>
      </c>
      <c r="C148" t="s">
        <v>40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 31-54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 31-54</v>
      </c>
      <c r="N149" t="s">
        <v>17</v>
      </c>
    </row>
    <row r="150" spans="1:14">
      <c r="A150">
        <v>19675</v>
      </c>
      <c r="B150" t="s">
        <v>38</v>
      </c>
      <c r="C150" t="s">
        <v>40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 55+</v>
      </c>
      <c r="N150" t="s">
        <v>20</v>
      </c>
    </row>
    <row r="151" spans="1:14">
      <c r="A151">
        <v>12728</v>
      </c>
      <c r="B151" t="s">
        <v>41</v>
      </c>
      <c r="C151" t="s">
        <v>40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Aolsecent</v>
      </c>
      <c r="N151" t="s">
        <v>20</v>
      </c>
    </row>
    <row r="152" spans="1:14">
      <c r="A152">
        <v>26154</v>
      </c>
      <c r="B152" t="s">
        <v>38</v>
      </c>
      <c r="C152" t="s">
        <v>40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 31-54</v>
      </c>
      <c r="N152" t="s">
        <v>17</v>
      </c>
    </row>
    <row r="153" spans="1:14">
      <c r="A153">
        <v>29117</v>
      </c>
      <c r="B153" t="s">
        <v>41</v>
      </c>
      <c r="C153" t="s">
        <v>40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 31-54</v>
      </c>
      <c r="N153" t="s">
        <v>20</v>
      </c>
    </row>
    <row r="154" spans="1:14">
      <c r="A154">
        <v>17845</v>
      </c>
      <c r="B154" t="s">
        <v>41</v>
      </c>
      <c r="C154" t="s">
        <v>39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 31-54</v>
      </c>
      <c r="N154" t="s">
        <v>20</v>
      </c>
    </row>
    <row r="155" spans="1:14">
      <c r="A155">
        <v>25058</v>
      </c>
      <c r="B155" t="s">
        <v>38</v>
      </c>
      <c r="C155" t="s">
        <v>40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 31-54</v>
      </c>
      <c r="N155" t="s">
        <v>20</v>
      </c>
    </row>
    <row r="156" spans="1:14">
      <c r="A156">
        <v>23426</v>
      </c>
      <c r="B156" t="s">
        <v>41</v>
      </c>
      <c r="C156" t="s">
        <v>40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 31-54</v>
      </c>
      <c r="N156" t="s">
        <v>20</v>
      </c>
    </row>
    <row r="157" spans="1:14">
      <c r="A157">
        <v>14798</v>
      </c>
      <c r="B157" t="s">
        <v>41</v>
      </c>
      <c r="C157" t="s">
        <v>39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 31-54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 55+</v>
      </c>
      <c r="N158" t="s">
        <v>20</v>
      </c>
    </row>
    <row r="159" spans="1:14">
      <c r="A159">
        <v>23979</v>
      </c>
      <c r="B159" t="s">
        <v>41</v>
      </c>
      <c r="C159" t="s">
        <v>40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 31-54</v>
      </c>
      <c r="N159" t="s">
        <v>20</v>
      </c>
    </row>
    <row r="160" spans="1:14">
      <c r="A160">
        <v>25605</v>
      </c>
      <c r="B160" t="s">
        <v>41</v>
      </c>
      <c r="C160" t="s">
        <v>39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 31-54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 31-54</v>
      </c>
      <c r="N161" t="s">
        <v>20</v>
      </c>
    </row>
    <row r="162" spans="1:14">
      <c r="A162">
        <v>21980</v>
      </c>
      <c r="B162" t="s">
        <v>41</v>
      </c>
      <c r="C162" t="s">
        <v>39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 31-54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 31-54</v>
      </c>
      <c r="N163" t="s">
        <v>17</v>
      </c>
    </row>
    <row r="164" spans="1:14">
      <c r="A164">
        <v>29181</v>
      </c>
      <c r="B164" t="s">
        <v>41</v>
      </c>
      <c r="C164" t="s">
        <v>39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 31-54</v>
      </c>
      <c r="N164" t="s">
        <v>17</v>
      </c>
    </row>
    <row r="165" spans="1:14">
      <c r="A165">
        <v>24279</v>
      </c>
      <c r="B165" t="s">
        <v>41</v>
      </c>
      <c r="C165" t="s">
        <v>40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 31-54</v>
      </c>
      <c r="N165" t="s">
        <v>20</v>
      </c>
    </row>
    <row r="166" spans="1:14">
      <c r="A166">
        <v>22402</v>
      </c>
      <c r="B166" t="s">
        <v>38</v>
      </c>
      <c r="C166" t="s">
        <v>40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Aolsecent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Aolsecent</v>
      </c>
      <c r="N167" t="s">
        <v>20</v>
      </c>
    </row>
    <row r="168" spans="1:14">
      <c r="A168">
        <v>26757</v>
      </c>
      <c r="B168" t="s">
        <v>41</v>
      </c>
      <c r="C168" t="s">
        <v>40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 31-54</v>
      </c>
      <c r="N168" t="s">
        <v>17</v>
      </c>
    </row>
    <row r="169" spans="1:14">
      <c r="A169">
        <v>14233</v>
      </c>
      <c r="B169" t="s">
        <v>41</v>
      </c>
      <c r="C169" t="s">
        <v>40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42</v>
      </c>
      <c r="K169" t="s">
        <v>27</v>
      </c>
      <c r="L169">
        <v>35</v>
      </c>
      <c r="M169" t="str">
        <f t="shared" si="2"/>
        <v>middle age 31-54</v>
      </c>
      <c r="N169" t="s">
        <v>20</v>
      </c>
    </row>
    <row r="170" spans="1:14">
      <c r="A170">
        <v>14058</v>
      </c>
      <c r="B170" t="s">
        <v>41</v>
      </c>
      <c r="C170" t="s">
        <v>40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 31-54</v>
      </c>
      <c r="N170" t="s">
        <v>17</v>
      </c>
    </row>
    <row r="171" spans="1:14">
      <c r="A171">
        <v>12273</v>
      </c>
      <c r="B171" t="s">
        <v>38</v>
      </c>
      <c r="C171" t="s">
        <v>40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 31-54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 55+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 55+</v>
      </c>
      <c r="N173" t="s">
        <v>20</v>
      </c>
    </row>
    <row r="174" spans="1:14">
      <c r="A174">
        <v>23963</v>
      </c>
      <c r="B174" t="s">
        <v>38</v>
      </c>
      <c r="C174" t="s">
        <v>40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 31-54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Aolsecent</v>
      </c>
      <c r="N175" t="s">
        <v>20</v>
      </c>
    </row>
    <row r="176" spans="1:14">
      <c r="A176">
        <v>19442</v>
      </c>
      <c r="B176" t="s">
        <v>41</v>
      </c>
      <c r="C176" t="s">
        <v>40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 31-54</v>
      </c>
      <c r="N176" t="s">
        <v>17</v>
      </c>
    </row>
    <row r="177" spans="1:14">
      <c r="A177">
        <v>17504</v>
      </c>
      <c r="B177" t="s">
        <v>41</v>
      </c>
      <c r="C177" t="s">
        <v>39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 31-54</v>
      </c>
      <c r="N177" t="s">
        <v>17</v>
      </c>
    </row>
    <row r="178" spans="1:14">
      <c r="A178">
        <v>12253</v>
      </c>
      <c r="B178" t="s">
        <v>41</v>
      </c>
      <c r="C178" t="s">
        <v>39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Aolsecent</v>
      </c>
      <c r="N178" t="s">
        <v>17</v>
      </c>
    </row>
    <row r="179" spans="1:14">
      <c r="A179">
        <v>27304</v>
      </c>
      <c r="B179" t="s">
        <v>41</v>
      </c>
      <c r="C179" t="s">
        <v>39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 31-54</v>
      </c>
      <c r="N179" t="s">
        <v>20</v>
      </c>
    </row>
    <row r="180" spans="1:14">
      <c r="A180">
        <v>14191</v>
      </c>
      <c r="B180" t="s">
        <v>38</v>
      </c>
      <c r="C180" t="s">
        <v>40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42</v>
      </c>
      <c r="K180" t="s">
        <v>19</v>
      </c>
      <c r="L180">
        <v>55</v>
      </c>
      <c r="M180" t="str">
        <f t="shared" si="2"/>
        <v>middle age 31-54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 31-54</v>
      </c>
      <c r="N181" t="s">
        <v>17</v>
      </c>
    </row>
    <row r="182" spans="1:14">
      <c r="A182">
        <v>25529</v>
      </c>
      <c r="B182" t="s">
        <v>41</v>
      </c>
      <c r="C182" t="s">
        <v>40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 31-54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 31-54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 31-54</v>
      </c>
      <c r="N184" t="s">
        <v>20</v>
      </c>
    </row>
    <row r="185" spans="1:14">
      <c r="A185">
        <v>15265</v>
      </c>
      <c r="B185" t="s">
        <v>41</v>
      </c>
      <c r="C185" t="s">
        <v>40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 55+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42</v>
      </c>
      <c r="K186" t="s">
        <v>19</v>
      </c>
      <c r="L186">
        <v>58</v>
      </c>
      <c r="M186" t="str">
        <f t="shared" si="2"/>
        <v>old 55+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 31-54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 55+</v>
      </c>
      <c r="N188" t="s">
        <v>17</v>
      </c>
    </row>
    <row r="189" spans="1:14">
      <c r="A189">
        <v>18151</v>
      </c>
      <c r="B189" t="s">
        <v>41</v>
      </c>
      <c r="C189" t="s">
        <v>40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42</v>
      </c>
      <c r="K189" t="s">
        <v>19</v>
      </c>
      <c r="L189">
        <v>59</v>
      </c>
      <c r="M189" t="str">
        <f t="shared" si="2"/>
        <v>old 55+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42</v>
      </c>
      <c r="K190" t="s">
        <v>27</v>
      </c>
      <c r="L190">
        <v>32</v>
      </c>
      <c r="M190" t="str">
        <f t="shared" si="2"/>
        <v>middle age 31-54</v>
      </c>
      <c r="N190" t="s">
        <v>17</v>
      </c>
    </row>
    <row r="191" spans="1:14">
      <c r="A191">
        <v>19482</v>
      </c>
      <c r="B191" t="s">
        <v>38</v>
      </c>
      <c r="C191" t="s">
        <v>40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 31-54</v>
      </c>
      <c r="N191" t="s">
        <v>17</v>
      </c>
    </row>
    <row r="192" spans="1:14">
      <c r="A192">
        <v>16489</v>
      </c>
      <c r="B192" t="s">
        <v>38</v>
      </c>
      <c r="C192" t="s">
        <v>40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 31-54</v>
      </c>
      <c r="N192" t="s">
        <v>20</v>
      </c>
    </row>
    <row r="193" spans="1:14">
      <c r="A193">
        <v>26944</v>
      </c>
      <c r="B193" t="s">
        <v>41</v>
      </c>
      <c r="C193" t="s">
        <v>40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 31-54</v>
      </c>
      <c r="N193" t="s">
        <v>17</v>
      </c>
    </row>
    <row r="194" spans="1:14">
      <c r="A194">
        <v>15682</v>
      </c>
      <c r="B194" t="s">
        <v>41</v>
      </c>
      <c r="C194" t="s">
        <v>39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42</v>
      </c>
      <c r="K194" t="s">
        <v>19</v>
      </c>
      <c r="L194">
        <v>62</v>
      </c>
      <c r="M194" t="str">
        <f t="shared" si="2"/>
        <v>old 55+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42</v>
      </c>
      <c r="K195" t="s">
        <v>27</v>
      </c>
      <c r="L195">
        <v>41</v>
      </c>
      <c r="M195" t="str">
        <f t="shared" ref="M195:M258" si="3">IF(L195&gt;55,"old 55+",IF(L195&gt;=31,"middle age 31-54",IF(L195&lt;31,"Aolsecent","invalid")))</f>
        <v>middle age 31-54</v>
      </c>
      <c r="N195" t="s">
        <v>20</v>
      </c>
    </row>
    <row r="196" spans="1:14">
      <c r="A196">
        <v>17843</v>
      </c>
      <c r="B196" t="s">
        <v>41</v>
      </c>
      <c r="C196" t="s">
        <v>39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 31-54</v>
      </c>
      <c r="N196" t="s">
        <v>20</v>
      </c>
    </row>
    <row r="197" spans="1:14">
      <c r="A197">
        <v>25559</v>
      </c>
      <c r="B197" t="s">
        <v>41</v>
      </c>
      <c r="C197" t="s">
        <v>40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Aolsecent</v>
      </c>
      <c r="N197" t="s">
        <v>17</v>
      </c>
    </row>
    <row r="198" spans="1:14">
      <c r="A198">
        <v>16209</v>
      </c>
      <c r="B198" t="s">
        <v>41</v>
      </c>
      <c r="C198" t="s">
        <v>39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 31-54</v>
      </c>
      <c r="N198" t="s">
        <v>20</v>
      </c>
    </row>
    <row r="199" spans="1:14">
      <c r="A199">
        <v>11147</v>
      </c>
      <c r="B199" t="s">
        <v>38</v>
      </c>
      <c r="C199" t="s">
        <v>40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 55+</v>
      </c>
      <c r="N199" t="s">
        <v>17</v>
      </c>
    </row>
    <row r="200" spans="1:14">
      <c r="A200">
        <v>15214</v>
      </c>
      <c r="B200" t="s">
        <v>41</v>
      </c>
      <c r="C200" t="s">
        <v>39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 31-54</v>
      </c>
      <c r="N200" t="s">
        <v>17</v>
      </c>
    </row>
    <row r="201" spans="1:14">
      <c r="A201">
        <v>11453</v>
      </c>
      <c r="B201" t="s">
        <v>41</v>
      </c>
      <c r="C201" t="s">
        <v>40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42</v>
      </c>
      <c r="K201" t="s">
        <v>27</v>
      </c>
      <c r="L201">
        <v>33</v>
      </c>
      <c r="M201" t="str">
        <f t="shared" si="3"/>
        <v>middle age 31-54</v>
      </c>
      <c r="N201" t="s">
        <v>17</v>
      </c>
    </row>
    <row r="202" spans="1:14">
      <c r="A202">
        <v>24584</v>
      </c>
      <c r="B202" t="s">
        <v>41</v>
      </c>
      <c r="C202" t="s">
        <v>40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 31-54</v>
      </c>
      <c r="N202" t="s">
        <v>20</v>
      </c>
    </row>
    <row r="203" spans="1:14">
      <c r="A203">
        <v>12585</v>
      </c>
      <c r="B203" t="s">
        <v>38</v>
      </c>
      <c r="C203" t="s">
        <v>40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Aolsecent</v>
      </c>
      <c r="N203" t="s">
        <v>17</v>
      </c>
    </row>
    <row r="204" spans="1:14">
      <c r="A204">
        <v>18626</v>
      </c>
      <c r="B204" t="s">
        <v>41</v>
      </c>
      <c r="C204" t="s">
        <v>40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 31-54</v>
      </c>
      <c r="N204" t="s">
        <v>17</v>
      </c>
    </row>
    <row r="205" spans="1:14">
      <c r="A205">
        <v>29298</v>
      </c>
      <c r="B205" t="s">
        <v>41</v>
      </c>
      <c r="C205" t="s">
        <v>39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 31-54</v>
      </c>
      <c r="N205" t="s">
        <v>17</v>
      </c>
    </row>
    <row r="206" spans="1:14">
      <c r="A206">
        <v>24842</v>
      </c>
      <c r="B206" t="s">
        <v>41</v>
      </c>
      <c r="C206" t="s">
        <v>39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 31-54</v>
      </c>
      <c r="N206" t="s">
        <v>20</v>
      </c>
    </row>
    <row r="207" spans="1:14">
      <c r="A207">
        <v>15657</v>
      </c>
      <c r="B207" t="s">
        <v>38</v>
      </c>
      <c r="C207" t="s">
        <v>40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 31-54</v>
      </c>
      <c r="N207" t="s">
        <v>17</v>
      </c>
    </row>
    <row r="208" spans="1:14">
      <c r="A208">
        <v>11415</v>
      </c>
      <c r="B208" t="s">
        <v>41</v>
      </c>
      <c r="C208" t="s">
        <v>40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42</v>
      </c>
      <c r="K208" t="s">
        <v>19</v>
      </c>
      <c r="L208">
        <v>62</v>
      </c>
      <c r="M208" t="str">
        <f t="shared" si="3"/>
        <v>old 55+</v>
      </c>
      <c r="N208" t="s">
        <v>20</v>
      </c>
    </row>
    <row r="209" spans="1:14">
      <c r="A209">
        <v>28729</v>
      </c>
      <c r="B209" t="s">
        <v>41</v>
      </c>
      <c r="C209" t="s">
        <v>39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Aolsecent</v>
      </c>
      <c r="N209" t="s">
        <v>17</v>
      </c>
    </row>
    <row r="210" spans="1:14">
      <c r="A210">
        <v>22633</v>
      </c>
      <c r="B210" t="s">
        <v>41</v>
      </c>
      <c r="C210" t="s">
        <v>39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 31-54</v>
      </c>
      <c r="N210" t="s">
        <v>17</v>
      </c>
    </row>
    <row r="211" spans="1:14">
      <c r="A211">
        <v>25649</v>
      </c>
      <c r="B211" t="s">
        <v>41</v>
      </c>
      <c r="C211" t="s">
        <v>39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 31-54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 31-54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 31-54</v>
      </c>
      <c r="N213" t="s">
        <v>17</v>
      </c>
    </row>
    <row r="214" spans="1:14">
      <c r="A214">
        <v>20946</v>
      </c>
      <c r="B214" t="s">
        <v>41</v>
      </c>
      <c r="C214" t="s">
        <v>39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Aolsecent</v>
      </c>
      <c r="N214" t="s">
        <v>20</v>
      </c>
    </row>
    <row r="215" spans="1:14">
      <c r="A215">
        <v>11451</v>
      </c>
      <c r="B215" t="s">
        <v>41</v>
      </c>
      <c r="C215" t="s">
        <v>40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42</v>
      </c>
      <c r="K215" t="s">
        <v>27</v>
      </c>
      <c r="L215">
        <v>31</v>
      </c>
      <c r="M215" t="str">
        <f t="shared" si="3"/>
        <v>middle age 31-54</v>
      </c>
      <c r="N215" t="s">
        <v>17</v>
      </c>
    </row>
    <row r="216" spans="1:14">
      <c r="A216">
        <v>25553</v>
      </c>
      <c r="B216" t="s">
        <v>38</v>
      </c>
      <c r="C216" t="s">
        <v>40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 55+</v>
      </c>
      <c r="N216" t="s">
        <v>17</v>
      </c>
    </row>
    <row r="217" spans="1:14">
      <c r="A217">
        <v>27951</v>
      </c>
      <c r="B217" t="s">
        <v>41</v>
      </c>
      <c r="C217" t="s">
        <v>40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 31-54</v>
      </c>
      <c r="N217" t="s">
        <v>17</v>
      </c>
    </row>
    <row r="218" spans="1:14">
      <c r="A218">
        <v>25026</v>
      </c>
      <c r="B218" t="s">
        <v>38</v>
      </c>
      <c r="C218" t="s">
        <v>40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 31-54</v>
      </c>
      <c r="N218" t="s">
        <v>20</v>
      </c>
    </row>
    <row r="219" spans="1:14">
      <c r="A219">
        <v>13673</v>
      </c>
      <c r="B219" t="s">
        <v>41</v>
      </c>
      <c r="C219" t="s">
        <v>39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Aolsecent</v>
      </c>
      <c r="N219" t="s">
        <v>20</v>
      </c>
    </row>
    <row r="220" spans="1:14">
      <c r="A220">
        <v>16043</v>
      </c>
      <c r="B220" t="s">
        <v>41</v>
      </c>
      <c r="C220" t="s">
        <v>40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 31-54</v>
      </c>
      <c r="N220" t="s">
        <v>20</v>
      </c>
    </row>
    <row r="221" spans="1:14">
      <c r="A221">
        <v>22399</v>
      </c>
      <c r="B221" t="s">
        <v>41</v>
      </c>
      <c r="C221" t="s">
        <v>40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Aolsecent</v>
      </c>
      <c r="N221" t="s">
        <v>17</v>
      </c>
    </row>
    <row r="222" spans="1:14">
      <c r="A222">
        <v>27696</v>
      </c>
      <c r="B222" t="s">
        <v>38</v>
      </c>
      <c r="C222" t="s">
        <v>40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 31-54</v>
      </c>
      <c r="N222" t="s">
        <v>17</v>
      </c>
    </row>
    <row r="223" spans="1:14">
      <c r="A223">
        <v>25313</v>
      </c>
      <c r="B223" t="s">
        <v>41</v>
      </c>
      <c r="C223" t="s">
        <v>40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 31-54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 31-54</v>
      </c>
      <c r="N224" t="s">
        <v>20</v>
      </c>
    </row>
    <row r="225" spans="1:14">
      <c r="A225">
        <v>18711</v>
      </c>
      <c r="B225" t="s">
        <v>41</v>
      </c>
      <c r="C225" t="s">
        <v>39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42</v>
      </c>
      <c r="K225" t="s">
        <v>27</v>
      </c>
      <c r="L225">
        <v>39</v>
      </c>
      <c r="M225" t="str">
        <f t="shared" si="3"/>
        <v>middle age 31-54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 55+</v>
      </c>
      <c r="N226" t="s">
        <v>20</v>
      </c>
    </row>
    <row r="227" spans="1:14">
      <c r="A227">
        <v>14135</v>
      </c>
      <c r="B227" t="s">
        <v>38</v>
      </c>
      <c r="C227" t="s">
        <v>40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 31-54</v>
      </c>
      <c r="N227" t="s">
        <v>20</v>
      </c>
    </row>
    <row r="228" spans="1:14">
      <c r="A228">
        <v>12833</v>
      </c>
      <c r="B228" t="s">
        <v>41</v>
      </c>
      <c r="C228" t="s">
        <v>39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 31-54</v>
      </c>
      <c r="N228" t="s">
        <v>17</v>
      </c>
    </row>
    <row r="229" spans="1:14">
      <c r="A229">
        <v>26849</v>
      </c>
      <c r="B229" t="s">
        <v>38</v>
      </c>
      <c r="C229" t="s">
        <v>40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 31-54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 31-54</v>
      </c>
      <c r="N230" t="s">
        <v>20</v>
      </c>
    </row>
    <row r="231" spans="1:14">
      <c r="A231">
        <v>28915</v>
      </c>
      <c r="B231" t="s">
        <v>41</v>
      </c>
      <c r="C231" t="s">
        <v>40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42</v>
      </c>
      <c r="K231" t="s">
        <v>19</v>
      </c>
      <c r="L231">
        <v>57</v>
      </c>
      <c r="M231" t="str">
        <f t="shared" si="3"/>
        <v>old 55+</v>
      </c>
      <c r="N231" t="s">
        <v>20</v>
      </c>
    </row>
    <row r="232" spans="1:14">
      <c r="A232">
        <v>22830</v>
      </c>
      <c r="B232" t="s">
        <v>38</v>
      </c>
      <c r="C232" t="s">
        <v>40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42</v>
      </c>
      <c r="K232" t="s">
        <v>19</v>
      </c>
      <c r="L232">
        <v>56</v>
      </c>
      <c r="M232" t="str">
        <f t="shared" si="3"/>
        <v>old 55+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 31-54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 31-54</v>
      </c>
      <c r="N234" t="s">
        <v>20</v>
      </c>
    </row>
    <row r="235" spans="1:14">
      <c r="A235">
        <v>24174</v>
      </c>
      <c r="B235" t="s">
        <v>38</v>
      </c>
      <c r="C235" t="s">
        <v>40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Aolsecent</v>
      </c>
      <c r="N235" t="s">
        <v>17</v>
      </c>
    </row>
    <row r="236" spans="1:14">
      <c r="A236">
        <v>24611</v>
      </c>
      <c r="B236" t="s">
        <v>41</v>
      </c>
      <c r="C236" t="s">
        <v>40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42</v>
      </c>
      <c r="K236" t="s">
        <v>27</v>
      </c>
      <c r="L236">
        <v>35</v>
      </c>
      <c r="M236" t="str">
        <f t="shared" si="3"/>
        <v>middle age 31-54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 55+</v>
      </c>
      <c r="N237" t="s">
        <v>17</v>
      </c>
    </row>
    <row r="238" spans="1:14">
      <c r="A238">
        <v>25693</v>
      </c>
      <c r="B238" t="s">
        <v>41</v>
      </c>
      <c r="C238" t="s">
        <v>39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 31-54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Aolsecent</v>
      </c>
      <c r="N239" t="s">
        <v>17</v>
      </c>
    </row>
    <row r="240" spans="1:14">
      <c r="A240">
        <v>22006</v>
      </c>
      <c r="B240" t="s">
        <v>38</v>
      </c>
      <c r="C240" t="s">
        <v>40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 31-54</v>
      </c>
      <c r="N240" t="s">
        <v>20</v>
      </c>
    </row>
    <row r="241" spans="1:14">
      <c r="A241">
        <v>20060</v>
      </c>
      <c r="B241" t="s">
        <v>41</v>
      </c>
      <c r="C241" t="s">
        <v>39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 31-54</v>
      </c>
      <c r="N241" t="s">
        <v>17</v>
      </c>
    </row>
    <row r="242" spans="1:14">
      <c r="A242">
        <v>17702</v>
      </c>
      <c r="B242" t="s">
        <v>38</v>
      </c>
      <c r="C242" t="s">
        <v>40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 31-54</v>
      </c>
      <c r="N242" t="s">
        <v>20</v>
      </c>
    </row>
    <row r="243" spans="1:14">
      <c r="A243">
        <v>12503</v>
      </c>
      <c r="B243" t="s">
        <v>41</v>
      </c>
      <c r="C243" t="s">
        <v>39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Aolsecent</v>
      </c>
      <c r="N243" t="s">
        <v>20</v>
      </c>
    </row>
    <row r="244" spans="1:14">
      <c r="A244">
        <v>23908</v>
      </c>
      <c r="B244" t="s">
        <v>41</v>
      </c>
      <c r="C244" t="s">
        <v>40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 31-54</v>
      </c>
      <c r="N244" t="s">
        <v>17</v>
      </c>
    </row>
    <row r="245" spans="1:14">
      <c r="A245">
        <v>22527</v>
      </c>
      <c r="B245" t="s">
        <v>41</v>
      </c>
      <c r="C245" t="s">
        <v>39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Aolsecent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42</v>
      </c>
      <c r="K246" t="s">
        <v>19</v>
      </c>
      <c r="L246">
        <v>52</v>
      </c>
      <c r="M246" t="str">
        <f t="shared" si="3"/>
        <v>middle age 31-54</v>
      </c>
      <c r="N246" t="s">
        <v>17</v>
      </c>
    </row>
    <row r="247" spans="1:14">
      <c r="A247">
        <v>18494</v>
      </c>
      <c r="B247" t="s">
        <v>38</v>
      </c>
      <c r="C247" t="s">
        <v>40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 31-54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 31-54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42</v>
      </c>
      <c r="K249" t="s">
        <v>27</v>
      </c>
      <c r="L249">
        <v>34</v>
      </c>
      <c r="M249" t="str">
        <f t="shared" si="3"/>
        <v>middle age 31-54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 55+</v>
      </c>
      <c r="N250" t="s">
        <v>20</v>
      </c>
    </row>
    <row r="251" spans="1:14">
      <c r="A251">
        <v>23432</v>
      </c>
      <c r="B251" t="s">
        <v>41</v>
      </c>
      <c r="C251" t="s">
        <v>40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 31-54</v>
      </c>
      <c r="N251" t="s">
        <v>17</v>
      </c>
    </row>
    <row r="252" spans="1:14">
      <c r="A252">
        <v>22931</v>
      </c>
      <c r="B252" t="s">
        <v>38</v>
      </c>
      <c r="C252" t="s">
        <v>40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 55+</v>
      </c>
      <c r="N252" t="s">
        <v>17</v>
      </c>
    </row>
    <row r="253" spans="1:14">
      <c r="A253">
        <v>18172</v>
      </c>
      <c r="B253" t="s">
        <v>38</v>
      </c>
      <c r="C253" t="s">
        <v>40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 31-54</v>
      </c>
      <c r="N253" t="s">
        <v>20</v>
      </c>
    </row>
    <row r="254" spans="1:14">
      <c r="A254">
        <v>12666</v>
      </c>
      <c r="B254" t="s">
        <v>41</v>
      </c>
      <c r="C254" t="s">
        <v>40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 31-54</v>
      </c>
      <c r="N254" t="s">
        <v>20</v>
      </c>
    </row>
    <row r="255" spans="1:14">
      <c r="A255">
        <v>20598</v>
      </c>
      <c r="B255" t="s">
        <v>38</v>
      </c>
      <c r="C255" t="s">
        <v>40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42</v>
      </c>
      <c r="K255" t="s">
        <v>19</v>
      </c>
      <c r="L255">
        <v>59</v>
      </c>
      <c r="M255" t="str">
        <f t="shared" si="3"/>
        <v>old 55+</v>
      </c>
      <c r="N255" t="s">
        <v>17</v>
      </c>
    </row>
    <row r="256" spans="1:14">
      <c r="A256">
        <v>21375</v>
      </c>
      <c r="B256" t="s">
        <v>41</v>
      </c>
      <c r="C256" t="s">
        <v>40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 55+</v>
      </c>
      <c r="N256" t="s">
        <v>20</v>
      </c>
    </row>
    <row r="257" spans="1:14">
      <c r="A257">
        <v>20839</v>
      </c>
      <c r="B257" t="s">
        <v>41</v>
      </c>
      <c r="C257" t="s">
        <v>39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 31-54</v>
      </c>
      <c r="N257" t="s">
        <v>17</v>
      </c>
    </row>
    <row r="258" spans="1:14">
      <c r="A258">
        <v>21738</v>
      </c>
      <c r="B258" t="s">
        <v>38</v>
      </c>
      <c r="C258" t="s">
        <v>40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 31-54</v>
      </c>
      <c r="N258" t="s">
        <v>20</v>
      </c>
    </row>
    <row r="259" spans="1:14">
      <c r="A259">
        <v>14164</v>
      </c>
      <c r="B259" t="s">
        <v>41</v>
      </c>
      <c r="C259" t="s">
        <v>39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IF(L259&gt;55,"old 55+",IF(L259&gt;=31,"middle age 31-54",IF(L259&lt;31,"Aolsecent","invalid")))</f>
        <v>middle age 31-54</v>
      </c>
      <c r="N259" t="s">
        <v>17</v>
      </c>
    </row>
    <row r="260" spans="1:14">
      <c r="A260">
        <v>14193</v>
      </c>
      <c r="B260" t="s">
        <v>41</v>
      </c>
      <c r="C260" t="s">
        <v>39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42</v>
      </c>
      <c r="K260" t="s">
        <v>19</v>
      </c>
      <c r="L260">
        <v>56</v>
      </c>
      <c r="M260" t="str">
        <f t="shared" si="4"/>
        <v>old 55+</v>
      </c>
      <c r="N260" t="s">
        <v>20</v>
      </c>
    </row>
    <row r="261" spans="1:14">
      <c r="A261">
        <v>12705</v>
      </c>
      <c r="B261" t="s">
        <v>38</v>
      </c>
      <c r="C261" t="s">
        <v>40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 31-54</v>
      </c>
      <c r="N261" t="s">
        <v>17</v>
      </c>
    </row>
    <row r="262" spans="1:14">
      <c r="A262">
        <v>22672</v>
      </c>
      <c r="B262" t="s">
        <v>41</v>
      </c>
      <c r="C262" t="s">
        <v>39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 31-54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 31-54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 31-54</v>
      </c>
      <c r="N264" t="s">
        <v>20</v>
      </c>
    </row>
    <row r="265" spans="1:14">
      <c r="A265">
        <v>23419</v>
      </c>
      <c r="B265" t="s">
        <v>41</v>
      </c>
      <c r="C265" t="s">
        <v>39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42</v>
      </c>
      <c r="K265" t="s">
        <v>27</v>
      </c>
      <c r="L265">
        <v>39</v>
      </c>
      <c r="M265" t="str">
        <f t="shared" si="4"/>
        <v>middle age 31-54</v>
      </c>
      <c r="N265" t="s">
        <v>20</v>
      </c>
    </row>
    <row r="266" spans="1:14">
      <c r="A266">
        <v>17964</v>
      </c>
      <c r="B266" t="s">
        <v>38</v>
      </c>
      <c r="C266" t="s">
        <v>40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 31-54</v>
      </c>
      <c r="N266" t="s">
        <v>17</v>
      </c>
    </row>
    <row r="267" spans="1:14">
      <c r="A267">
        <v>20919</v>
      </c>
      <c r="B267" t="s">
        <v>41</v>
      </c>
      <c r="C267" t="s">
        <v>39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 31-54</v>
      </c>
      <c r="N267" t="s">
        <v>20</v>
      </c>
    </row>
    <row r="268" spans="1:14">
      <c r="A268">
        <v>20927</v>
      </c>
      <c r="B268" t="s">
        <v>41</v>
      </c>
      <c r="C268" t="s">
        <v>39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Aolsecent</v>
      </c>
      <c r="N268" t="s">
        <v>20</v>
      </c>
    </row>
    <row r="269" spans="1:14">
      <c r="A269">
        <v>13133</v>
      </c>
      <c r="B269" t="s">
        <v>41</v>
      </c>
      <c r="C269" t="s">
        <v>40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 31-54</v>
      </c>
      <c r="N269" t="s">
        <v>17</v>
      </c>
    </row>
    <row r="270" spans="1:14">
      <c r="A270">
        <v>19626</v>
      </c>
      <c r="B270" t="s">
        <v>38</v>
      </c>
      <c r="C270" t="s">
        <v>40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 31-54</v>
      </c>
      <c r="N270" t="s">
        <v>20</v>
      </c>
    </row>
    <row r="271" spans="1:14">
      <c r="A271">
        <v>21039</v>
      </c>
      <c r="B271" t="s">
        <v>41</v>
      </c>
      <c r="C271" t="s">
        <v>39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 31-54</v>
      </c>
      <c r="N271" t="s">
        <v>17</v>
      </c>
    </row>
    <row r="272" spans="1:14">
      <c r="A272">
        <v>12231</v>
      </c>
      <c r="B272" t="s">
        <v>41</v>
      </c>
      <c r="C272" t="s">
        <v>39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 31-54</v>
      </c>
      <c r="N272" t="s">
        <v>17</v>
      </c>
    </row>
    <row r="273" spans="1:14">
      <c r="A273">
        <v>25665</v>
      </c>
      <c r="B273" t="s">
        <v>41</v>
      </c>
      <c r="C273" t="s">
        <v>39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Aolsecent</v>
      </c>
      <c r="N273" t="s">
        <v>20</v>
      </c>
    </row>
    <row r="274" spans="1:14">
      <c r="A274">
        <v>24061</v>
      </c>
      <c r="B274" t="s">
        <v>38</v>
      </c>
      <c r="C274" t="s">
        <v>40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 31-54</v>
      </c>
      <c r="N274" t="s">
        <v>17</v>
      </c>
    </row>
    <row r="275" spans="1:14">
      <c r="A275">
        <v>26879</v>
      </c>
      <c r="B275" t="s">
        <v>41</v>
      </c>
      <c r="C275" t="s">
        <v>39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Aolsecent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 31-54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 31-54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 31-54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 31-54</v>
      </c>
      <c r="N279" t="s">
        <v>17</v>
      </c>
    </row>
    <row r="280" spans="1:14">
      <c r="A280">
        <v>20625</v>
      </c>
      <c r="B280" t="s">
        <v>38</v>
      </c>
      <c r="C280" t="s">
        <v>40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42</v>
      </c>
      <c r="K280" t="s">
        <v>27</v>
      </c>
      <c r="L280">
        <v>35</v>
      </c>
      <c r="M280" t="str">
        <f t="shared" si="4"/>
        <v>middle age 31-54</v>
      </c>
      <c r="N280" t="s">
        <v>17</v>
      </c>
    </row>
    <row r="281" spans="1:14">
      <c r="A281">
        <v>16390</v>
      </c>
      <c r="B281" t="s">
        <v>41</v>
      </c>
      <c r="C281" t="s">
        <v>40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 31-54</v>
      </c>
      <c r="N281" t="s">
        <v>17</v>
      </c>
    </row>
    <row r="282" spans="1:14">
      <c r="A282">
        <v>14804</v>
      </c>
      <c r="B282" t="s">
        <v>41</v>
      </c>
      <c r="C282" t="s">
        <v>39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 31-54</v>
      </c>
      <c r="N282" t="s">
        <v>20</v>
      </c>
    </row>
    <row r="283" spans="1:14">
      <c r="A283">
        <v>12629</v>
      </c>
      <c r="B283" t="s">
        <v>41</v>
      </c>
      <c r="C283" t="s">
        <v>40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 31-54</v>
      </c>
      <c r="N283" t="s">
        <v>20</v>
      </c>
    </row>
    <row r="284" spans="1:14">
      <c r="A284">
        <v>14696</v>
      </c>
      <c r="B284" t="s">
        <v>41</v>
      </c>
      <c r="C284" t="s">
        <v>40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 31-54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 31-54</v>
      </c>
      <c r="N285" t="s">
        <v>20</v>
      </c>
    </row>
    <row r="286" spans="1:14">
      <c r="A286">
        <v>14544</v>
      </c>
      <c r="B286" t="s">
        <v>41</v>
      </c>
      <c r="C286" t="s">
        <v>40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 31-54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 31-54</v>
      </c>
      <c r="N287" t="s">
        <v>20</v>
      </c>
    </row>
    <row r="288" spans="1:14">
      <c r="A288">
        <v>29120</v>
      </c>
      <c r="B288" t="s">
        <v>41</v>
      </c>
      <c r="C288" t="s">
        <v>39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 31-54</v>
      </c>
      <c r="N288" t="s">
        <v>20</v>
      </c>
    </row>
    <row r="289" spans="1:14">
      <c r="A289">
        <v>24187</v>
      </c>
      <c r="B289" t="s">
        <v>41</v>
      </c>
      <c r="C289" t="s">
        <v>39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 31-54</v>
      </c>
      <c r="N289" t="s">
        <v>17</v>
      </c>
    </row>
    <row r="290" spans="1:14">
      <c r="A290">
        <v>15758</v>
      </c>
      <c r="B290" t="s">
        <v>38</v>
      </c>
      <c r="C290" t="s">
        <v>40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 31-54</v>
      </c>
      <c r="N290" t="s">
        <v>20</v>
      </c>
    </row>
    <row r="291" spans="1:14">
      <c r="A291">
        <v>29094</v>
      </c>
      <c r="B291" t="s">
        <v>38</v>
      </c>
      <c r="C291" t="s">
        <v>40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 31-54</v>
      </c>
      <c r="N291" t="s">
        <v>17</v>
      </c>
    </row>
    <row r="292" spans="1:14">
      <c r="A292">
        <v>28319</v>
      </c>
      <c r="B292" t="s">
        <v>41</v>
      </c>
      <c r="C292" t="s">
        <v>39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 31-54</v>
      </c>
      <c r="N292" t="s">
        <v>17</v>
      </c>
    </row>
    <row r="293" spans="1:14">
      <c r="A293">
        <v>16406</v>
      </c>
      <c r="B293" t="s">
        <v>38</v>
      </c>
      <c r="C293" t="s">
        <v>40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 31-54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 31-54</v>
      </c>
      <c r="N294" t="s">
        <v>17</v>
      </c>
    </row>
    <row r="295" spans="1:14">
      <c r="A295">
        <v>11378</v>
      </c>
      <c r="B295" t="s">
        <v>41</v>
      </c>
      <c r="C295" t="s">
        <v>39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 31-54</v>
      </c>
      <c r="N295" t="s">
        <v>17</v>
      </c>
    </row>
    <row r="296" spans="1:14">
      <c r="A296">
        <v>20851</v>
      </c>
      <c r="B296" t="s">
        <v>41</v>
      </c>
      <c r="C296" t="s">
        <v>40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 31-54</v>
      </c>
      <c r="N296" t="s">
        <v>17</v>
      </c>
    </row>
    <row r="297" spans="1:14">
      <c r="A297">
        <v>21557</v>
      </c>
      <c r="B297" t="s">
        <v>41</v>
      </c>
      <c r="C297" t="s">
        <v>39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42</v>
      </c>
      <c r="K297" t="s">
        <v>27</v>
      </c>
      <c r="L297">
        <v>32</v>
      </c>
      <c r="M297" t="str">
        <f t="shared" si="4"/>
        <v>middle age 31-54</v>
      </c>
      <c r="N297" t="s">
        <v>17</v>
      </c>
    </row>
    <row r="298" spans="1:14">
      <c r="A298">
        <v>26663</v>
      </c>
      <c r="B298" t="s">
        <v>41</v>
      </c>
      <c r="C298" t="s">
        <v>39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 31-54</v>
      </c>
      <c r="N298" t="s">
        <v>17</v>
      </c>
    </row>
    <row r="299" spans="1:14">
      <c r="A299">
        <v>11896</v>
      </c>
      <c r="B299" t="s">
        <v>38</v>
      </c>
      <c r="C299" t="s">
        <v>40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 31-54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 31-54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 55+</v>
      </c>
      <c r="N301" t="s">
        <v>20</v>
      </c>
    </row>
    <row r="302" spans="1:14">
      <c r="A302">
        <v>25906</v>
      </c>
      <c r="B302" t="s">
        <v>41</v>
      </c>
      <c r="C302" t="s">
        <v>39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 55+</v>
      </c>
      <c r="N302" t="s">
        <v>20</v>
      </c>
    </row>
    <row r="303" spans="1:14">
      <c r="A303">
        <v>17926</v>
      </c>
      <c r="B303" t="s">
        <v>41</v>
      </c>
      <c r="C303" t="s">
        <v>39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Aolsecent</v>
      </c>
      <c r="N303" t="s">
        <v>17</v>
      </c>
    </row>
    <row r="304" spans="1:14">
      <c r="A304">
        <v>26928</v>
      </c>
      <c r="B304" t="s">
        <v>41</v>
      </c>
      <c r="C304" t="s">
        <v>40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 55+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 31-54</v>
      </c>
      <c r="N305" t="s">
        <v>20</v>
      </c>
    </row>
    <row r="306" spans="1:14">
      <c r="A306">
        <v>28207</v>
      </c>
      <c r="B306" t="s">
        <v>38</v>
      </c>
      <c r="C306" t="s">
        <v>40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 31-54</v>
      </c>
      <c r="N306" t="s">
        <v>17</v>
      </c>
    </row>
    <row r="307" spans="1:14">
      <c r="A307">
        <v>25923</v>
      </c>
      <c r="B307" t="s">
        <v>41</v>
      </c>
      <c r="C307" t="s">
        <v>40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 55+</v>
      </c>
      <c r="N307" t="s">
        <v>20</v>
      </c>
    </row>
    <row r="308" spans="1:14">
      <c r="A308">
        <v>11000</v>
      </c>
      <c r="B308" t="s">
        <v>38</v>
      </c>
      <c r="C308" t="s">
        <v>40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 31-54</v>
      </c>
      <c r="N308" t="s">
        <v>17</v>
      </c>
    </row>
    <row r="309" spans="1:14">
      <c r="A309">
        <v>20974</v>
      </c>
      <c r="B309" t="s">
        <v>38</v>
      </c>
      <c r="C309" t="s">
        <v>40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 55+</v>
      </c>
      <c r="N309" t="s">
        <v>20</v>
      </c>
    </row>
    <row r="310" spans="1:14">
      <c r="A310">
        <v>28758</v>
      </c>
      <c r="B310" t="s">
        <v>38</v>
      </c>
      <c r="C310" t="s">
        <v>40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 31-54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 31-54</v>
      </c>
      <c r="N311" t="s">
        <v>17</v>
      </c>
    </row>
    <row r="312" spans="1:14">
      <c r="A312">
        <v>17522</v>
      </c>
      <c r="B312" t="s">
        <v>38</v>
      </c>
      <c r="C312" t="s">
        <v>40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 31-54</v>
      </c>
      <c r="N312" t="s">
        <v>20</v>
      </c>
    </row>
    <row r="313" spans="1:14">
      <c r="A313">
        <v>21207</v>
      </c>
      <c r="B313" t="s">
        <v>38</v>
      </c>
      <c r="C313" t="s">
        <v>40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 31-54</v>
      </c>
      <c r="N313" t="s">
        <v>20</v>
      </c>
    </row>
    <row r="314" spans="1:14">
      <c r="A314">
        <v>28102</v>
      </c>
      <c r="B314" t="s">
        <v>38</v>
      </c>
      <c r="C314" t="s">
        <v>40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 55+</v>
      </c>
      <c r="N314" t="s">
        <v>17</v>
      </c>
    </row>
    <row r="315" spans="1:14">
      <c r="A315">
        <v>23105</v>
      </c>
      <c r="B315" t="s">
        <v>41</v>
      </c>
      <c r="C315" t="s">
        <v>40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 31-54</v>
      </c>
      <c r="N315" t="s">
        <v>17</v>
      </c>
    </row>
    <row r="316" spans="1:14">
      <c r="A316">
        <v>18740</v>
      </c>
      <c r="B316" t="s">
        <v>38</v>
      </c>
      <c r="C316" t="s">
        <v>40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 31-54</v>
      </c>
      <c r="N316" t="s">
        <v>17</v>
      </c>
    </row>
    <row r="317" spans="1:14">
      <c r="A317">
        <v>21213</v>
      </c>
      <c r="B317" t="s">
        <v>41</v>
      </c>
      <c r="C317" t="s">
        <v>40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 31-54</v>
      </c>
      <c r="N317" t="s">
        <v>20</v>
      </c>
    </row>
    <row r="318" spans="1:14">
      <c r="A318">
        <v>17352</v>
      </c>
      <c r="B318" t="s">
        <v>38</v>
      </c>
      <c r="C318" t="s">
        <v>40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 55+</v>
      </c>
      <c r="N318" t="s">
        <v>17</v>
      </c>
    </row>
    <row r="319" spans="1:14">
      <c r="A319">
        <v>14154</v>
      </c>
      <c r="B319" t="s">
        <v>38</v>
      </c>
      <c r="C319" t="s">
        <v>40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 31-54</v>
      </c>
      <c r="N319" t="s">
        <v>17</v>
      </c>
    </row>
    <row r="320" spans="1:14">
      <c r="A320">
        <v>19066</v>
      </c>
      <c r="B320" t="s">
        <v>38</v>
      </c>
      <c r="C320" t="s">
        <v>40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42</v>
      </c>
      <c r="K320" t="s">
        <v>19</v>
      </c>
      <c r="L320">
        <v>54</v>
      </c>
      <c r="M320" t="str">
        <f t="shared" si="4"/>
        <v>middle age 31-54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 31-54</v>
      </c>
      <c r="N321" t="s">
        <v>20</v>
      </c>
    </row>
    <row r="322" spans="1:14">
      <c r="A322">
        <v>20228</v>
      </c>
      <c r="B322" t="s">
        <v>38</v>
      </c>
      <c r="C322" t="s">
        <v>40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 31-54</v>
      </c>
      <c r="N322" t="s">
        <v>17</v>
      </c>
    </row>
    <row r="323" spans="1:14">
      <c r="A323">
        <v>16675</v>
      </c>
      <c r="B323" t="s">
        <v>41</v>
      </c>
      <c r="C323" t="s">
        <v>39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IF(L323&gt;55,"old 55+",IF(L323&gt;=31,"middle age 31-54",IF(L323&lt;31,"Aolsecent","invalid")))</f>
        <v>middle age 31-54</v>
      </c>
      <c r="N323" t="s">
        <v>17</v>
      </c>
    </row>
    <row r="324" spans="1:14">
      <c r="A324">
        <v>16410</v>
      </c>
      <c r="B324" t="s">
        <v>41</v>
      </c>
      <c r="C324" t="s">
        <v>39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 31-54</v>
      </c>
      <c r="N324" t="s">
        <v>17</v>
      </c>
    </row>
    <row r="325" spans="1:14">
      <c r="A325">
        <v>27760</v>
      </c>
      <c r="B325" t="s">
        <v>41</v>
      </c>
      <c r="C325" t="s">
        <v>39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 31-54</v>
      </c>
      <c r="N325" t="s">
        <v>17</v>
      </c>
    </row>
    <row r="326" spans="1:14">
      <c r="A326">
        <v>22930</v>
      </c>
      <c r="B326" t="s">
        <v>38</v>
      </c>
      <c r="C326" t="s">
        <v>40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 31-54</v>
      </c>
      <c r="N326" t="s">
        <v>17</v>
      </c>
    </row>
    <row r="327" spans="1:14">
      <c r="A327">
        <v>23780</v>
      </c>
      <c r="B327" t="s">
        <v>41</v>
      </c>
      <c r="C327" t="s">
        <v>40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 31-54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Aolsecent</v>
      </c>
      <c r="N328" t="s">
        <v>17</v>
      </c>
    </row>
    <row r="329" spans="1:14">
      <c r="A329">
        <v>28379</v>
      </c>
      <c r="B329" t="s">
        <v>38</v>
      </c>
      <c r="C329" t="s">
        <v>40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 31-54</v>
      </c>
      <c r="N329" t="s">
        <v>20</v>
      </c>
    </row>
    <row r="330" spans="1:14">
      <c r="A330">
        <v>14865</v>
      </c>
      <c r="B330" t="s">
        <v>41</v>
      </c>
      <c r="C330" t="s">
        <v>40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 31-54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42</v>
      </c>
      <c r="K331" t="s">
        <v>19</v>
      </c>
      <c r="L331">
        <v>59</v>
      </c>
      <c r="M331" t="str">
        <f t="shared" si="5"/>
        <v>old 55+</v>
      </c>
      <c r="N331" t="s">
        <v>20</v>
      </c>
    </row>
    <row r="332" spans="1:14">
      <c r="A332">
        <v>24898</v>
      </c>
      <c r="B332" t="s">
        <v>41</v>
      </c>
      <c r="C332" t="s">
        <v>39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42</v>
      </c>
      <c r="K332" t="s">
        <v>27</v>
      </c>
      <c r="L332">
        <v>32</v>
      </c>
      <c r="M332" t="str">
        <f t="shared" si="5"/>
        <v>middle age 31-54</v>
      </c>
      <c r="N332" t="s">
        <v>20</v>
      </c>
    </row>
    <row r="333" spans="1:14">
      <c r="A333">
        <v>19508</v>
      </c>
      <c r="B333" t="s">
        <v>38</v>
      </c>
      <c r="C333" t="s">
        <v>40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Aolsecent</v>
      </c>
      <c r="N333" t="s">
        <v>20</v>
      </c>
    </row>
    <row r="334" spans="1:14">
      <c r="A334">
        <v>11489</v>
      </c>
      <c r="B334" t="s">
        <v>41</v>
      </c>
      <c r="C334" t="s">
        <v>39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 31-54</v>
      </c>
      <c r="N334" t="s">
        <v>17</v>
      </c>
    </row>
    <row r="335" spans="1:14">
      <c r="A335">
        <v>18160</v>
      </c>
      <c r="B335" t="s">
        <v>38</v>
      </c>
      <c r="C335" t="s">
        <v>40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 31-54</v>
      </c>
      <c r="N335" t="s">
        <v>17</v>
      </c>
    </row>
    <row r="336" spans="1:14">
      <c r="A336">
        <v>25241</v>
      </c>
      <c r="B336" t="s">
        <v>38</v>
      </c>
      <c r="C336" t="s">
        <v>40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 31-54</v>
      </c>
      <c r="N336" t="s">
        <v>20</v>
      </c>
    </row>
    <row r="337" spans="1:14">
      <c r="A337">
        <v>24369</v>
      </c>
      <c r="B337" t="s">
        <v>38</v>
      </c>
      <c r="C337" t="s">
        <v>40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 31-54</v>
      </c>
      <c r="N337" t="s">
        <v>20</v>
      </c>
    </row>
    <row r="338" spans="1:14">
      <c r="A338">
        <v>27165</v>
      </c>
      <c r="B338" t="s">
        <v>41</v>
      </c>
      <c r="C338" t="s">
        <v>40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 31-54</v>
      </c>
      <c r="N338" t="s">
        <v>20</v>
      </c>
    </row>
    <row r="339" spans="1:14">
      <c r="A339">
        <v>29424</v>
      </c>
      <c r="B339" t="s">
        <v>38</v>
      </c>
      <c r="C339" t="s">
        <v>40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 31-54</v>
      </c>
      <c r="N339" t="s">
        <v>20</v>
      </c>
    </row>
    <row r="340" spans="1:14">
      <c r="A340">
        <v>15926</v>
      </c>
      <c r="B340" t="s">
        <v>41</v>
      </c>
      <c r="C340" t="s">
        <v>39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 31-54</v>
      </c>
      <c r="N340" t="s">
        <v>17</v>
      </c>
    </row>
    <row r="341" spans="1:14">
      <c r="A341">
        <v>14554</v>
      </c>
      <c r="B341" t="s">
        <v>38</v>
      </c>
      <c r="C341" t="s">
        <v>40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 55+</v>
      </c>
      <c r="N341" t="s">
        <v>20</v>
      </c>
    </row>
    <row r="342" spans="1:14">
      <c r="A342">
        <v>16468</v>
      </c>
      <c r="B342" t="s">
        <v>41</v>
      </c>
      <c r="C342" t="s">
        <v>40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Aolsecent</v>
      </c>
      <c r="N342" t="s">
        <v>20</v>
      </c>
    </row>
    <row r="343" spans="1:14">
      <c r="A343">
        <v>19174</v>
      </c>
      <c r="B343" t="s">
        <v>41</v>
      </c>
      <c r="C343" t="s">
        <v>39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 31-54</v>
      </c>
      <c r="N343" t="s">
        <v>17</v>
      </c>
    </row>
    <row r="344" spans="1:14">
      <c r="A344">
        <v>19183</v>
      </c>
      <c r="B344" t="s">
        <v>41</v>
      </c>
      <c r="C344" t="s">
        <v>40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 31-54</v>
      </c>
      <c r="N344" t="s">
        <v>20</v>
      </c>
    </row>
    <row r="345" spans="1:14">
      <c r="A345">
        <v>13683</v>
      </c>
      <c r="B345" t="s">
        <v>41</v>
      </c>
      <c r="C345" t="s">
        <v>39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 31-54</v>
      </c>
      <c r="N345" t="s">
        <v>20</v>
      </c>
    </row>
    <row r="346" spans="1:14">
      <c r="A346">
        <v>17848</v>
      </c>
      <c r="B346" t="s">
        <v>41</v>
      </c>
      <c r="C346" t="s">
        <v>40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 31-54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 31-54</v>
      </c>
      <c r="N347" t="s">
        <v>17</v>
      </c>
    </row>
    <row r="348" spans="1:14">
      <c r="A348">
        <v>25651</v>
      </c>
      <c r="B348" t="s">
        <v>38</v>
      </c>
      <c r="C348" t="s">
        <v>40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 31-54</v>
      </c>
      <c r="N348" t="s">
        <v>17</v>
      </c>
    </row>
    <row r="349" spans="1:14">
      <c r="A349">
        <v>22936</v>
      </c>
      <c r="B349" t="s">
        <v>41</v>
      </c>
      <c r="C349" t="s">
        <v>39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 31-54</v>
      </c>
      <c r="N349" t="s">
        <v>17</v>
      </c>
    </row>
    <row r="350" spans="1:14">
      <c r="A350">
        <v>23915</v>
      </c>
      <c r="B350" t="s">
        <v>38</v>
      </c>
      <c r="C350" t="s">
        <v>40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 31-54</v>
      </c>
      <c r="N350" t="s">
        <v>20</v>
      </c>
    </row>
    <row r="351" spans="1:14">
      <c r="A351">
        <v>24121</v>
      </c>
      <c r="B351" t="s">
        <v>41</v>
      </c>
      <c r="C351" t="s">
        <v>39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Aolsecent</v>
      </c>
      <c r="N351" t="s">
        <v>17</v>
      </c>
    </row>
    <row r="352" spans="1:14">
      <c r="A352">
        <v>27878</v>
      </c>
      <c r="B352" t="s">
        <v>41</v>
      </c>
      <c r="C352" t="s">
        <v>40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Aolsecent</v>
      </c>
      <c r="N352" t="s">
        <v>17</v>
      </c>
    </row>
    <row r="353" spans="1:14">
      <c r="A353">
        <v>13572</v>
      </c>
      <c r="B353" t="s">
        <v>41</v>
      </c>
      <c r="C353" t="s">
        <v>40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 31-54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 31-54</v>
      </c>
      <c r="N354" t="s">
        <v>20</v>
      </c>
    </row>
    <row r="355" spans="1:14">
      <c r="A355">
        <v>26354</v>
      </c>
      <c r="B355" t="s">
        <v>41</v>
      </c>
      <c r="C355" t="s">
        <v>40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 31-54</v>
      </c>
      <c r="N355" t="s">
        <v>17</v>
      </c>
    </row>
    <row r="356" spans="1:14">
      <c r="A356">
        <v>14785</v>
      </c>
      <c r="B356" t="s">
        <v>41</v>
      </c>
      <c r="C356" t="s">
        <v>40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 31-54</v>
      </c>
      <c r="N356" t="s">
        <v>20</v>
      </c>
    </row>
    <row r="357" spans="1:14">
      <c r="A357">
        <v>17238</v>
      </c>
      <c r="B357" t="s">
        <v>41</v>
      </c>
      <c r="C357" t="s">
        <v>40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42</v>
      </c>
      <c r="K357" t="s">
        <v>27</v>
      </c>
      <c r="L357">
        <v>32</v>
      </c>
      <c r="M357" t="str">
        <f t="shared" si="5"/>
        <v>middle age 31-54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 31-54</v>
      </c>
      <c r="N358" t="s">
        <v>17</v>
      </c>
    </row>
    <row r="359" spans="1:14">
      <c r="A359">
        <v>22538</v>
      </c>
      <c r="B359" t="s">
        <v>41</v>
      </c>
      <c r="C359" t="s">
        <v>39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 31-54</v>
      </c>
      <c r="N359" t="s">
        <v>20</v>
      </c>
    </row>
    <row r="360" spans="1:14">
      <c r="A360">
        <v>12332</v>
      </c>
      <c r="B360" t="s">
        <v>38</v>
      </c>
      <c r="C360" t="s">
        <v>40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 55+</v>
      </c>
      <c r="N360" t="s">
        <v>17</v>
      </c>
    </row>
    <row r="361" spans="1:14">
      <c r="A361">
        <v>17230</v>
      </c>
      <c r="B361" t="s">
        <v>38</v>
      </c>
      <c r="C361" t="s">
        <v>40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42</v>
      </c>
      <c r="K361" t="s">
        <v>27</v>
      </c>
      <c r="L361">
        <v>30</v>
      </c>
      <c r="M361" t="str">
        <f t="shared" si="5"/>
        <v>Aolsecent</v>
      </c>
      <c r="N361" t="s">
        <v>20</v>
      </c>
    </row>
    <row r="362" spans="1:14">
      <c r="A362">
        <v>13082</v>
      </c>
      <c r="B362" t="s">
        <v>41</v>
      </c>
      <c r="C362" t="s">
        <v>40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 31-54</v>
      </c>
      <c r="N362" t="s">
        <v>17</v>
      </c>
    </row>
    <row r="363" spans="1:14">
      <c r="A363">
        <v>22518</v>
      </c>
      <c r="B363" t="s">
        <v>41</v>
      </c>
      <c r="C363" t="s">
        <v>39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Aolsecent</v>
      </c>
      <c r="N363" t="s">
        <v>17</v>
      </c>
    </row>
    <row r="364" spans="1:14">
      <c r="A364">
        <v>13687</v>
      </c>
      <c r="B364" t="s">
        <v>38</v>
      </c>
      <c r="C364" t="s">
        <v>40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 31-54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 55+</v>
      </c>
      <c r="N365" t="s">
        <v>17</v>
      </c>
    </row>
    <row r="366" spans="1:14">
      <c r="A366">
        <v>19305</v>
      </c>
      <c r="B366" t="s">
        <v>41</v>
      </c>
      <c r="C366" t="s">
        <v>39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 31-54</v>
      </c>
      <c r="N366" t="s">
        <v>17</v>
      </c>
    </row>
    <row r="367" spans="1:14">
      <c r="A367">
        <v>22636</v>
      </c>
      <c r="B367" t="s">
        <v>41</v>
      </c>
      <c r="C367" t="s">
        <v>39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 31-54</v>
      </c>
      <c r="N367" t="s">
        <v>17</v>
      </c>
    </row>
    <row r="368" spans="1:14">
      <c r="A368">
        <v>17310</v>
      </c>
      <c r="B368" t="s">
        <v>38</v>
      </c>
      <c r="C368" t="s">
        <v>40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 31-54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 31-54</v>
      </c>
      <c r="N369" t="s">
        <v>17</v>
      </c>
    </row>
    <row r="370" spans="1:14">
      <c r="A370">
        <v>25918</v>
      </c>
      <c r="B370" t="s">
        <v>41</v>
      </c>
      <c r="C370" t="s">
        <v>39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 55+</v>
      </c>
      <c r="N370" t="s">
        <v>17</v>
      </c>
    </row>
    <row r="371" spans="1:14">
      <c r="A371">
        <v>25752</v>
      </c>
      <c r="B371" t="s">
        <v>41</v>
      </c>
      <c r="C371" t="s">
        <v>39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 31-54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42</v>
      </c>
      <c r="K372" t="s">
        <v>27</v>
      </c>
      <c r="L372">
        <v>46</v>
      </c>
      <c r="M372" t="str">
        <f t="shared" si="5"/>
        <v>middle age 31-54</v>
      </c>
      <c r="N372" t="s">
        <v>20</v>
      </c>
    </row>
    <row r="373" spans="1:14">
      <c r="A373">
        <v>22918</v>
      </c>
      <c r="B373" t="s">
        <v>41</v>
      </c>
      <c r="C373" t="s">
        <v>40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 31-54</v>
      </c>
      <c r="N373" t="s">
        <v>20</v>
      </c>
    </row>
    <row r="374" spans="1:14">
      <c r="A374">
        <v>12510</v>
      </c>
      <c r="B374" t="s">
        <v>38</v>
      </c>
      <c r="C374" t="s">
        <v>40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 31-54</v>
      </c>
      <c r="N374" t="s">
        <v>17</v>
      </c>
    </row>
    <row r="375" spans="1:14">
      <c r="A375">
        <v>25512</v>
      </c>
      <c r="B375" t="s">
        <v>41</v>
      </c>
      <c r="C375" t="s">
        <v>40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Aolsecent</v>
      </c>
      <c r="N375" t="s">
        <v>20</v>
      </c>
    </row>
    <row r="376" spans="1:14">
      <c r="A376">
        <v>16179</v>
      </c>
      <c r="B376" t="s">
        <v>41</v>
      </c>
      <c r="C376" t="s">
        <v>39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 31-54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 55+</v>
      </c>
      <c r="N377" t="s">
        <v>20</v>
      </c>
    </row>
    <row r="378" spans="1:14">
      <c r="A378">
        <v>20977</v>
      </c>
      <c r="B378" t="s">
        <v>38</v>
      </c>
      <c r="C378" t="s">
        <v>40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 55+</v>
      </c>
      <c r="N378" t="s">
        <v>17</v>
      </c>
    </row>
    <row r="379" spans="1:14">
      <c r="A379">
        <v>18140</v>
      </c>
      <c r="B379" t="s">
        <v>38</v>
      </c>
      <c r="C379" t="s">
        <v>40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 31-54</v>
      </c>
      <c r="N379" t="s">
        <v>17</v>
      </c>
    </row>
    <row r="380" spans="1:14">
      <c r="A380">
        <v>20417</v>
      </c>
      <c r="B380" t="s">
        <v>38</v>
      </c>
      <c r="C380" t="s">
        <v>40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 55+</v>
      </c>
      <c r="N380" t="s">
        <v>20</v>
      </c>
    </row>
    <row r="381" spans="1:14">
      <c r="A381">
        <v>18267</v>
      </c>
      <c r="B381" t="s">
        <v>38</v>
      </c>
      <c r="C381" t="s">
        <v>40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 31-54</v>
      </c>
      <c r="N381" t="s">
        <v>20</v>
      </c>
    </row>
    <row r="382" spans="1:14">
      <c r="A382">
        <v>13620</v>
      </c>
      <c r="B382" t="s">
        <v>41</v>
      </c>
      <c r="C382" t="s">
        <v>40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42</v>
      </c>
      <c r="K382" t="s">
        <v>27</v>
      </c>
      <c r="L382">
        <v>30</v>
      </c>
      <c r="M382" t="str">
        <f t="shared" si="5"/>
        <v>Aolsecent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 55+</v>
      </c>
      <c r="N383" t="s">
        <v>20</v>
      </c>
    </row>
    <row r="384" spans="1:14">
      <c r="A384">
        <v>13586</v>
      </c>
      <c r="B384" t="s">
        <v>38</v>
      </c>
      <c r="C384" t="s">
        <v>40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42</v>
      </c>
      <c r="K384" t="s">
        <v>19</v>
      </c>
      <c r="L384">
        <v>53</v>
      </c>
      <c r="M384" t="str">
        <f t="shared" si="5"/>
        <v>middle age 31-54</v>
      </c>
      <c r="N384" t="s">
        <v>20</v>
      </c>
    </row>
    <row r="385" spans="1:14">
      <c r="A385">
        <v>17978</v>
      </c>
      <c r="B385" t="s">
        <v>38</v>
      </c>
      <c r="C385" t="s">
        <v>40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 31-54</v>
      </c>
      <c r="N385" t="s">
        <v>17</v>
      </c>
    </row>
    <row r="386" spans="1:14">
      <c r="A386">
        <v>12581</v>
      </c>
      <c r="B386" t="s">
        <v>41</v>
      </c>
      <c r="C386" t="s">
        <v>39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Aolsecent</v>
      </c>
      <c r="N386" t="s">
        <v>17</v>
      </c>
    </row>
    <row r="387" spans="1:14">
      <c r="A387">
        <v>18018</v>
      </c>
      <c r="B387" t="s">
        <v>41</v>
      </c>
      <c r="C387" t="s">
        <v>40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IF(L387&gt;55,"old 55+",IF(L387&gt;=31,"middle age 31-54",IF(L387&lt;31,"Aolsecent","invalid")))</f>
        <v>middle age 31-54</v>
      </c>
      <c r="N387" t="s">
        <v>20</v>
      </c>
    </row>
    <row r="388" spans="1:14">
      <c r="A388">
        <v>28957</v>
      </c>
      <c r="B388" t="s">
        <v>41</v>
      </c>
      <c r="C388" t="s">
        <v>39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42</v>
      </c>
      <c r="K388" t="s">
        <v>27</v>
      </c>
      <c r="L388">
        <v>34</v>
      </c>
      <c r="M388" t="str">
        <f t="shared" si="6"/>
        <v>middle age 31-54</v>
      </c>
      <c r="N388" t="s">
        <v>17</v>
      </c>
    </row>
    <row r="389" spans="1:14">
      <c r="A389">
        <v>13690</v>
      </c>
      <c r="B389" t="s">
        <v>41</v>
      </c>
      <c r="C389" t="s">
        <v>39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 31-54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 55+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 31-54</v>
      </c>
      <c r="N391" t="s">
        <v>17</v>
      </c>
    </row>
    <row r="392" spans="1:14">
      <c r="A392">
        <v>21184</v>
      </c>
      <c r="B392" t="s">
        <v>41</v>
      </c>
      <c r="C392" t="s">
        <v>40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 31-54</v>
      </c>
      <c r="N392" t="s">
        <v>20</v>
      </c>
    </row>
    <row r="393" spans="1:14">
      <c r="A393">
        <v>26150</v>
      </c>
      <c r="B393" t="s">
        <v>41</v>
      </c>
      <c r="C393" t="s">
        <v>39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 31-54</v>
      </c>
      <c r="N393" t="s">
        <v>17</v>
      </c>
    </row>
    <row r="394" spans="1:14">
      <c r="A394">
        <v>24151</v>
      </c>
      <c r="B394" t="s">
        <v>41</v>
      </c>
      <c r="C394" t="s">
        <v>40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 31-54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 31-54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 31-54</v>
      </c>
      <c r="N396" t="s">
        <v>17</v>
      </c>
    </row>
    <row r="397" spans="1:14">
      <c r="A397">
        <v>14926</v>
      </c>
      <c r="B397" t="s">
        <v>38</v>
      </c>
      <c r="C397" t="s">
        <v>40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 31-54</v>
      </c>
      <c r="N397" t="s">
        <v>17</v>
      </c>
    </row>
    <row r="398" spans="1:14">
      <c r="A398">
        <v>16163</v>
      </c>
      <c r="B398" t="s">
        <v>41</v>
      </c>
      <c r="C398" t="s">
        <v>40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 31-54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 55+</v>
      </c>
      <c r="N399" t="s">
        <v>20</v>
      </c>
    </row>
    <row r="400" spans="1:14">
      <c r="A400">
        <v>27771</v>
      </c>
      <c r="B400" t="s">
        <v>41</v>
      </c>
      <c r="C400" t="s">
        <v>40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 31-54</v>
      </c>
      <c r="N400" t="s">
        <v>17</v>
      </c>
    </row>
    <row r="401" spans="1:14">
      <c r="A401">
        <v>26167</v>
      </c>
      <c r="B401" t="s">
        <v>41</v>
      </c>
      <c r="C401" t="s">
        <v>39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 31-54</v>
      </c>
      <c r="N401" t="s">
        <v>17</v>
      </c>
    </row>
    <row r="402" spans="1:14">
      <c r="A402">
        <v>25792</v>
      </c>
      <c r="B402" t="s">
        <v>41</v>
      </c>
      <c r="C402" t="s">
        <v>39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42</v>
      </c>
      <c r="K402" t="s">
        <v>19</v>
      </c>
      <c r="L402">
        <v>53</v>
      </c>
      <c r="M402" t="str">
        <f t="shared" si="6"/>
        <v>middle age 31-54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 55+</v>
      </c>
      <c r="N403" t="s">
        <v>20</v>
      </c>
    </row>
    <row r="404" spans="1:14">
      <c r="A404">
        <v>22381</v>
      </c>
      <c r="B404" t="s">
        <v>38</v>
      </c>
      <c r="C404" t="s">
        <v>40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 31-54</v>
      </c>
      <c r="N404" t="s">
        <v>20</v>
      </c>
    </row>
    <row r="405" spans="1:14">
      <c r="A405">
        <v>17882</v>
      </c>
      <c r="B405" t="s">
        <v>38</v>
      </c>
      <c r="C405" t="s">
        <v>40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 31-54</v>
      </c>
      <c r="N405" t="s">
        <v>20</v>
      </c>
    </row>
    <row r="406" spans="1:14">
      <c r="A406">
        <v>22174</v>
      </c>
      <c r="B406" t="s">
        <v>38</v>
      </c>
      <c r="C406" t="s">
        <v>40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 31-54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 31-54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 31-54</v>
      </c>
      <c r="N408" t="s">
        <v>20</v>
      </c>
    </row>
    <row r="409" spans="1:14">
      <c r="A409">
        <v>27582</v>
      </c>
      <c r="B409" t="s">
        <v>41</v>
      </c>
      <c r="C409" t="s">
        <v>39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 31-54</v>
      </c>
      <c r="N409" t="s">
        <v>17</v>
      </c>
    </row>
    <row r="410" spans="1:14">
      <c r="A410">
        <v>12744</v>
      </c>
      <c r="B410" t="s">
        <v>41</v>
      </c>
      <c r="C410" t="s">
        <v>39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 31-54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 31-54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 31-54</v>
      </c>
      <c r="N412" t="s">
        <v>17</v>
      </c>
    </row>
    <row r="413" spans="1:14">
      <c r="A413">
        <v>11116</v>
      </c>
      <c r="B413" t="s">
        <v>38</v>
      </c>
      <c r="C413" t="s">
        <v>40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 31-54</v>
      </c>
      <c r="N413" t="s">
        <v>20</v>
      </c>
    </row>
    <row r="414" spans="1:14">
      <c r="A414">
        <v>20053</v>
      </c>
      <c r="B414" t="s">
        <v>41</v>
      </c>
      <c r="C414" t="s">
        <v>40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 31-54</v>
      </c>
      <c r="N414" t="s">
        <v>20</v>
      </c>
    </row>
    <row r="415" spans="1:14">
      <c r="A415">
        <v>25266</v>
      </c>
      <c r="B415" t="s">
        <v>41</v>
      </c>
      <c r="C415" t="s">
        <v>39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 55+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 31-54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 31-54</v>
      </c>
      <c r="N417" t="s">
        <v>20</v>
      </c>
    </row>
    <row r="418" spans="1:14">
      <c r="A418">
        <v>11897</v>
      </c>
      <c r="B418" t="s">
        <v>41</v>
      </c>
      <c r="C418" t="s">
        <v>40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 31-54</v>
      </c>
      <c r="N418" t="s">
        <v>17</v>
      </c>
    </row>
    <row r="419" spans="1:14">
      <c r="A419">
        <v>11139</v>
      </c>
      <c r="B419" t="s">
        <v>41</v>
      </c>
      <c r="C419" t="s">
        <v>39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 55+</v>
      </c>
      <c r="N419" t="s">
        <v>20</v>
      </c>
    </row>
    <row r="420" spans="1:14">
      <c r="A420">
        <v>11576</v>
      </c>
      <c r="B420" t="s">
        <v>38</v>
      </c>
      <c r="C420" t="s">
        <v>40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 31-54</v>
      </c>
      <c r="N420" t="s">
        <v>17</v>
      </c>
    </row>
    <row r="421" spans="1:14">
      <c r="A421">
        <v>19255</v>
      </c>
      <c r="B421" t="s">
        <v>41</v>
      </c>
      <c r="C421" t="s">
        <v>40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 31-54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42</v>
      </c>
      <c r="K422" t="s">
        <v>19</v>
      </c>
      <c r="L422">
        <v>59</v>
      </c>
      <c r="M422" t="str">
        <f t="shared" si="6"/>
        <v>old 55+</v>
      </c>
      <c r="N422" t="s">
        <v>20</v>
      </c>
    </row>
    <row r="423" spans="1:14">
      <c r="A423">
        <v>14547</v>
      </c>
      <c r="B423" t="s">
        <v>38</v>
      </c>
      <c r="C423" t="s">
        <v>40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 31-54</v>
      </c>
      <c r="N423" t="s">
        <v>20</v>
      </c>
    </row>
    <row r="424" spans="1:14">
      <c r="A424">
        <v>24901</v>
      </c>
      <c r="B424" t="s">
        <v>41</v>
      </c>
      <c r="C424" t="s">
        <v>40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42</v>
      </c>
      <c r="K424" t="s">
        <v>27</v>
      </c>
      <c r="L424">
        <v>32</v>
      </c>
      <c r="M424" t="str">
        <f t="shared" si="6"/>
        <v>middle age 31-54</v>
      </c>
      <c r="N424" t="s">
        <v>17</v>
      </c>
    </row>
    <row r="425" spans="1:14">
      <c r="A425">
        <v>27169</v>
      </c>
      <c r="B425" t="s">
        <v>41</v>
      </c>
      <c r="C425" t="s">
        <v>40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 31-54</v>
      </c>
      <c r="N425" t="s">
        <v>17</v>
      </c>
    </row>
    <row r="426" spans="1:14">
      <c r="A426">
        <v>14805</v>
      </c>
      <c r="B426" t="s">
        <v>41</v>
      </c>
      <c r="C426" t="s">
        <v>39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 31-54</v>
      </c>
      <c r="N426" t="s">
        <v>20</v>
      </c>
    </row>
    <row r="427" spans="1:14">
      <c r="A427">
        <v>15822</v>
      </c>
      <c r="B427" t="s">
        <v>38</v>
      </c>
      <c r="C427" t="s">
        <v>40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 55+</v>
      </c>
      <c r="N427" t="s">
        <v>20</v>
      </c>
    </row>
    <row r="428" spans="1:14">
      <c r="A428">
        <v>19389</v>
      </c>
      <c r="B428" t="s">
        <v>41</v>
      </c>
      <c r="C428" t="s">
        <v>40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Aolsecent</v>
      </c>
      <c r="N428" t="s">
        <v>20</v>
      </c>
    </row>
    <row r="429" spans="1:14">
      <c r="A429">
        <v>17048</v>
      </c>
      <c r="B429" t="s">
        <v>41</v>
      </c>
      <c r="C429" t="s">
        <v>39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 31-54</v>
      </c>
      <c r="N429" t="s">
        <v>17</v>
      </c>
    </row>
    <row r="430" spans="1:14">
      <c r="A430">
        <v>22204</v>
      </c>
      <c r="B430" t="s">
        <v>38</v>
      </c>
      <c r="C430" t="s">
        <v>40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 31-54</v>
      </c>
      <c r="N430" t="s">
        <v>20</v>
      </c>
    </row>
    <row r="431" spans="1:14">
      <c r="A431">
        <v>12718</v>
      </c>
      <c r="B431" t="s">
        <v>41</v>
      </c>
      <c r="C431" t="s">
        <v>39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 31-54</v>
      </c>
      <c r="N431" t="s">
        <v>20</v>
      </c>
    </row>
    <row r="432" spans="1:14">
      <c r="A432">
        <v>15019</v>
      </c>
      <c r="B432" t="s">
        <v>41</v>
      </c>
      <c r="C432" t="s">
        <v>39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 31-54</v>
      </c>
      <c r="N432" t="s">
        <v>20</v>
      </c>
    </row>
    <row r="433" spans="1:14">
      <c r="A433">
        <v>28488</v>
      </c>
      <c r="B433" t="s">
        <v>41</v>
      </c>
      <c r="C433" t="s">
        <v>40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Aolsecent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42</v>
      </c>
      <c r="K434" t="s">
        <v>27</v>
      </c>
      <c r="L434">
        <v>34</v>
      </c>
      <c r="M434" t="str">
        <f t="shared" si="6"/>
        <v>middle age 31-54</v>
      </c>
      <c r="N434" t="s">
        <v>17</v>
      </c>
    </row>
    <row r="435" spans="1:14">
      <c r="A435">
        <v>27814</v>
      </c>
      <c r="B435" t="s">
        <v>41</v>
      </c>
      <c r="C435" t="s">
        <v>39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Aolsecent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 31-54</v>
      </c>
      <c r="N436" t="s">
        <v>17</v>
      </c>
    </row>
    <row r="437" spans="1:14">
      <c r="A437">
        <v>29447</v>
      </c>
      <c r="B437" t="s">
        <v>41</v>
      </c>
      <c r="C437" t="s">
        <v>39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 55+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 31-54</v>
      </c>
      <c r="N438" t="s">
        <v>17</v>
      </c>
    </row>
    <row r="439" spans="1:14">
      <c r="A439">
        <v>27824</v>
      </c>
      <c r="B439" t="s">
        <v>41</v>
      </c>
      <c r="C439" t="s">
        <v>39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Aolsecent</v>
      </c>
      <c r="N439" t="s">
        <v>17</v>
      </c>
    </row>
    <row r="440" spans="1:14">
      <c r="A440">
        <v>24093</v>
      </c>
      <c r="B440" t="s">
        <v>41</v>
      </c>
      <c r="C440" t="s">
        <v>39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 31-54</v>
      </c>
      <c r="N440" t="s">
        <v>17</v>
      </c>
    </row>
    <row r="441" spans="1:14">
      <c r="A441">
        <v>19618</v>
      </c>
      <c r="B441" t="s">
        <v>38</v>
      </c>
      <c r="C441" t="s">
        <v>40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 31-54</v>
      </c>
      <c r="N441" t="s">
        <v>20</v>
      </c>
    </row>
    <row r="442" spans="1:14">
      <c r="A442">
        <v>21561</v>
      </c>
      <c r="B442" t="s">
        <v>41</v>
      </c>
      <c r="C442" t="s">
        <v>40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42</v>
      </c>
      <c r="K442" t="s">
        <v>27</v>
      </c>
      <c r="L442">
        <v>34</v>
      </c>
      <c r="M442" t="str">
        <f t="shared" si="6"/>
        <v>middle age 31-54</v>
      </c>
      <c r="N442" t="s">
        <v>17</v>
      </c>
    </row>
    <row r="443" spans="1:14">
      <c r="A443">
        <v>11061</v>
      </c>
      <c r="B443" t="s">
        <v>38</v>
      </c>
      <c r="C443" t="s">
        <v>40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 31-54</v>
      </c>
      <c r="N443" t="s">
        <v>17</v>
      </c>
    </row>
    <row r="444" spans="1:14">
      <c r="A444">
        <v>26651</v>
      </c>
      <c r="B444" t="s">
        <v>41</v>
      </c>
      <c r="C444" t="s">
        <v>40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 31-54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 31-54</v>
      </c>
      <c r="N445" t="s">
        <v>17</v>
      </c>
    </row>
    <row r="446" spans="1:14">
      <c r="A446">
        <v>12731</v>
      </c>
      <c r="B446" t="s">
        <v>41</v>
      </c>
      <c r="C446" t="s">
        <v>40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 31-54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 31-54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42</v>
      </c>
      <c r="K448" t="s">
        <v>27</v>
      </c>
      <c r="L448">
        <v>48</v>
      </c>
      <c r="M448" t="str">
        <f t="shared" si="6"/>
        <v>middle age 31-54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 31-54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 31-54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IF(L451&gt;55,"old 55+",IF(L451&gt;=31,"middle age 31-54",IF(L451&lt;31,"Aolsecent","invalid")))</f>
        <v>middle age 31-54</v>
      </c>
      <c r="N451" t="s">
        <v>20</v>
      </c>
    </row>
    <row r="452" spans="1:14">
      <c r="A452">
        <v>16559</v>
      </c>
      <c r="B452" t="s">
        <v>41</v>
      </c>
      <c r="C452" t="s">
        <v>39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 31-54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 31-54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 55+</v>
      </c>
      <c r="N454" t="s">
        <v>20</v>
      </c>
    </row>
    <row r="455" spans="1:14">
      <c r="A455">
        <v>26765</v>
      </c>
      <c r="B455" t="s">
        <v>41</v>
      </c>
      <c r="C455" t="s">
        <v>39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 31-54</v>
      </c>
      <c r="N455" t="s">
        <v>20</v>
      </c>
    </row>
    <row r="456" spans="1:14">
      <c r="A456">
        <v>12389</v>
      </c>
      <c r="B456" t="s">
        <v>41</v>
      </c>
      <c r="C456" t="s">
        <v>40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 31-54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 31-54</v>
      </c>
      <c r="N457" t="s">
        <v>17</v>
      </c>
    </row>
    <row r="458" spans="1:14">
      <c r="A458">
        <v>26385</v>
      </c>
      <c r="B458" t="s">
        <v>41</v>
      </c>
      <c r="C458" t="s">
        <v>40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 31-54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 55+</v>
      </c>
      <c r="N459" t="s">
        <v>20</v>
      </c>
    </row>
    <row r="460" spans="1:14">
      <c r="A460">
        <v>21560</v>
      </c>
      <c r="B460" t="s">
        <v>38</v>
      </c>
      <c r="C460" t="s">
        <v>40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42</v>
      </c>
      <c r="K460" t="s">
        <v>27</v>
      </c>
      <c r="L460">
        <v>32</v>
      </c>
      <c r="M460" t="str">
        <f t="shared" si="7"/>
        <v>middle age 31-54</v>
      </c>
      <c r="N460" t="s">
        <v>17</v>
      </c>
    </row>
    <row r="461" spans="1:14">
      <c r="A461">
        <v>21554</v>
      </c>
      <c r="B461" t="s">
        <v>41</v>
      </c>
      <c r="C461" t="s">
        <v>39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42</v>
      </c>
      <c r="K461" t="s">
        <v>27</v>
      </c>
      <c r="L461">
        <v>33</v>
      </c>
      <c r="M461" t="str">
        <f t="shared" si="7"/>
        <v>middle age 31-54</v>
      </c>
      <c r="N461" t="s">
        <v>20</v>
      </c>
    </row>
    <row r="462" spans="1:14">
      <c r="A462">
        <v>13662</v>
      </c>
      <c r="B462" t="s">
        <v>41</v>
      </c>
      <c r="C462" t="s">
        <v>40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 31-54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 31-54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 31-54</v>
      </c>
      <c r="N464" t="s">
        <v>17</v>
      </c>
    </row>
    <row r="465" spans="1:14">
      <c r="A465">
        <v>19331</v>
      </c>
      <c r="B465" t="s">
        <v>41</v>
      </c>
      <c r="C465" t="s">
        <v>40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 31-54</v>
      </c>
      <c r="N465" t="s">
        <v>20</v>
      </c>
    </row>
    <row r="466" spans="1:14">
      <c r="A466">
        <v>17754</v>
      </c>
      <c r="B466" t="s">
        <v>41</v>
      </c>
      <c r="C466" t="s">
        <v>39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 31-54</v>
      </c>
      <c r="N466" t="s">
        <v>17</v>
      </c>
    </row>
    <row r="467" spans="1:14">
      <c r="A467">
        <v>11149</v>
      </c>
      <c r="B467" t="s">
        <v>38</v>
      </c>
      <c r="C467" t="s">
        <v>40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 55+</v>
      </c>
      <c r="N467" t="s">
        <v>20</v>
      </c>
    </row>
    <row r="468" spans="1:14">
      <c r="A468">
        <v>16549</v>
      </c>
      <c r="B468" t="s">
        <v>41</v>
      </c>
      <c r="C468" t="s">
        <v>39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 31-54</v>
      </c>
      <c r="N468" t="s">
        <v>17</v>
      </c>
    </row>
    <row r="469" spans="1:14">
      <c r="A469">
        <v>24305</v>
      </c>
      <c r="B469" t="s">
        <v>41</v>
      </c>
      <c r="C469" t="s">
        <v>40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 31-54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 31-54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 55+</v>
      </c>
      <c r="N471" t="s">
        <v>20</v>
      </c>
    </row>
    <row r="472" spans="1:14">
      <c r="A472">
        <v>15612</v>
      </c>
      <c r="B472" t="s">
        <v>41</v>
      </c>
      <c r="C472" t="s">
        <v>40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Aolsecent</v>
      </c>
      <c r="N472" t="s">
        <v>20</v>
      </c>
    </row>
    <row r="473" spans="1:14">
      <c r="A473">
        <v>28323</v>
      </c>
      <c r="B473" t="s">
        <v>41</v>
      </c>
      <c r="C473" t="s">
        <v>40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 31-54</v>
      </c>
      <c r="N473" t="s">
        <v>17</v>
      </c>
    </row>
    <row r="474" spans="1:14">
      <c r="A474">
        <v>22634</v>
      </c>
      <c r="B474" t="s">
        <v>41</v>
      </c>
      <c r="C474" t="s">
        <v>39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 31-54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 31-54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 31-54</v>
      </c>
      <c r="N476" t="s">
        <v>17</v>
      </c>
    </row>
    <row r="477" spans="1:14">
      <c r="A477">
        <v>19748</v>
      </c>
      <c r="B477" t="s">
        <v>38</v>
      </c>
      <c r="C477" t="s">
        <v>40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 55+</v>
      </c>
      <c r="N477" t="s">
        <v>20</v>
      </c>
    </row>
    <row r="478" spans="1:14">
      <c r="A478">
        <v>21974</v>
      </c>
      <c r="B478" t="s">
        <v>41</v>
      </c>
      <c r="C478" t="s">
        <v>39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 31-54</v>
      </c>
      <c r="N478" t="s">
        <v>17</v>
      </c>
    </row>
    <row r="479" spans="1:14">
      <c r="A479">
        <v>14032</v>
      </c>
      <c r="B479" t="s">
        <v>38</v>
      </c>
      <c r="C479" t="s">
        <v>40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 31-54</v>
      </c>
      <c r="N479" t="s">
        <v>17</v>
      </c>
    </row>
    <row r="480" spans="1:14">
      <c r="A480">
        <v>22610</v>
      </c>
      <c r="B480" t="s">
        <v>38</v>
      </c>
      <c r="C480" t="s">
        <v>40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 31-54</v>
      </c>
      <c r="N480" t="s">
        <v>17</v>
      </c>
    </row>
    <row r="481" spans="1:14">
      <c r="A481">
        <v>26984</v>
      </c>
      <c r="B481" t="s">
        <v>38</v>
      </c>
      <c r="C481" t="s">
        <v>40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 31-54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 31-54</v>
      </c>
      <c r="N482" t="s">
        <v>20</v>
      </c>
    </row>
    <row r="483" spans="1:14">
      <c r="A483">
        <v>28564</v>
      </c>
      <c r="B483" t="s">
        <v>41</v>
      </c>
      <c r="C483" t="s">
        <v>39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 31-54</v>
      </c>
      <c r="N483" t="s">
        <v>17</v>
      </c>
    </row>
    <row r="484" spans="1:14">
      <c r="A484">
        <v>28521</v>
      </c>
      <c r="B484" t="s">
        <v>41</v>
      </c>
      <c r="C484" t="s">
        <v>40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 31-54</v>
      </c>
      <c r="N484" t="s">
        <v>17</v>
      </c>
    </row>
    <row r="485" spans="1:14">
      <c r="A485">
        <v>15450</v>
      </c>
      <c r="B485" t="s">
        <v>38</v>
      </c>
      <c r="C485" t="s">
        <v>40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 55+</v>
      </c>
      <c r="N485" t="s">
        <v>20</v>
      </c>
    </row>
    <row r="486" spans="1:14">
      <c r="A486">
        <v>25681</v>
      </c>
      <c r="B486" t="s">
        <v>41</v>
      </c>
      <c r="C486" t="s">
        <v>39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 31-54</v>
      </c>
      <c r="N486" t="s">
        <v>17</v>
      </c>
    </row>
    <row r="487" spans="1:14">
      <c r="A487">
        <v>19491</v>
      </c>
      <c r="B487" t="s">
        <v>41</v>
      </c>
      <c r="C487" t="s">
        <v>40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 31-54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42</v>
      </c>
      <c r="K488" t="s">
        <v>19</v>
      </c>
      <c r="L488">
        <v>58</v>
      </c>
      <c r="M488" t="str">
        <f t="shared" si="7"/>
        <v>old 55+</v>
      </c>
      <c r="N488" t="s">
        <v>20</v>
      </c>
    </row>
    <row r="489" spans="1:14">
      <c r="A489">
        <v>12821</v>
      </c>
      <c r="B489" t="s">
        <v>38</v>
      </c>
      <c r="C489" t="s">
        <v>40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 31-54</v>
      </c>
      <c r="N489" t="s">
        <v>20</v>
      </c>
    </row>
    <row r="490" spans="1:14">
      <c r="A490">
        <v>15629</v>
      </c>
      <c r="B490" t="s">
        <v>41</v>
      </c>
      <c r="C490" t="s">
        <v>39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 31-54</v>
      </c>
      <c r="N490" t="s">
        <v>20</v>
      </c>
    </row>
    <row r="491" spans="1:14">
      <c r="A491">
        <v>27835</v>
      </c>
      <c r="B491" t="s">
        <v>38</v>
      </c>
      <c r="C491" t="s">
        <v>40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 31-54</v>
      </c>
      <c r="N491" t="s">
        <v>20</v>
      </c>
    </row>
    <row r="492" spans="1:14">
      <c r="A492">
        <v>11738</v>
      </c>
      <c r="B492" t="s">
        <v>38</v>
      </c>
      <c r="C492" t="s">
        <v>40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 31-54</v>
      </c>
      <c r="N492" t="s">
        <v>20</v>
      </c>
    </row>
    <row r="493" spans="1:14">
      <c r="A493">
        <v>25065</v>
      </c>
      <c r="B493" t="s">
        <v>38</v>
      </c>
      <c r="C493" t="s">
        <v>40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 31-54</v>
      </c>
      <c r="N493" t="s">
        <v>20</v>
      </c>
    </row>
    <row r="494" spans="1:14">
      <c r="A494">
        <v>26238</v>
      </c>
      <c r="B494" t="s">
        <v>41</v>
      </c>
      <c r="C494" t="s">
        <v>39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 31-54</v>
      </c>
      <c r="N494" t="s">
        <v>17</v>
      </c>
    </row>
    <row r="495" spans="1:14">
      <c r="A495">
        <v>23707</v>
      </c>
      <c r="B495" t="s">
        <v>41</v>
      </c>
      <c r="C495" t="s">
        <v>40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42</v>
      </c>
      <c r="K495" t="s">
        <v>35</v>
      </c>
      <c r="L495">
        <v>60</v>
      </c>
      <c r="M495" t="str">
        <f t="shared" si="7"/>
        <v>old 55+</v>
      </c>
      <c r="N495" t="s">
        <v>17</v>
      </c>
    </row>
    <row r="496" spans="1:14">
      <c r="A496">
        <v>27650</v>
      </c>
      <c r="B496" t="s">
        <v>38</v>
      </c>
      <c r="C496" t="s">
        <v>40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 31-54</v>
      </c>
      <c r="N496" t="s">
        <v>20</v>
      </c>
    </row>
    <row r="497" spans="1:14">
      <c r="A497">
        <v>24981</v>
      </c>
      <c r="B497" t="s">
        <v>38</v>
      </c>
      <c r="C497" t="s">
        <v>40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42</v>
      </c>
      <c r="K497" t="s">
        <v>35</v>
      </c>
      <c r="L497">
        <v>56</v>
      </c>
      <c r="M497" t="str">
        <f t="shared" si="7"/>
        <v>old 55+</v>
      </c>
      <c r="N497" t="s">
        <v>20</v>
      </c>
    </row>
    <row r="498" spans="1:14">
      <c r="A498">
        <v>20678</v>
      </c>
      <c r="B498" t="s">
        <v>41</v>
      </c>
      <c r="C498" t="s">
        <v>39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 31-54</v>
      </c>
      <c r="N498" t="s">
        <v>17</v>
      </c>
    </row>
    <row r="499" spans="1:14">
      <c r="A499">
        <v>15302</v>
      </c>
      <c r="B499" t="s">
        <v>41</v>
      </c>
      <c r="C499" t="s">
        <v>39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 31-54</v>
      </c>
      <c r="N499" t="s">
        <v>17</v>
      </c>
    </row>
    <row r="500" spans="1:14">
      <c r="A500">
        <v>26012</v>
      </c>
      <c r="B500" t="s">
        <v>38</v>
      </c>
      <c r="C500" t="s">
        <v>40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 31-54</v>
      </c>
      <c r="N500" t="s">
        <v>17</v>
      </c>
    </row>
    <row r="501" spans="1:14">
      <c r="A501">
        <v>26575</v>
      </c>
      <c r="B501" t="s">
        <v>41</v>
      </c>
      <c r="C501" t="s">
        <v>39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 31-54</v>
      </c>
      <c r="N501" t="s">
        <v>17</v>
      </c>
    </row>
    <row r="502" spans="1:14">
      <c r="A502">
        <v>15559</v>
      </c>
      <c r="B502" t="s">
        <v>38</v>
      </c>
      <c r="C502" t="s">
        <v>40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 31-54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 31-54</v>
      </c>
      <c r="N503" t="s">
        <v>20</v>
      </c>
    </row>
    <row r="504" spans="1:14">
      <c r="A504">
        <v>15275</v>
      </c>
      <c r="B504" t="s">
        <v>38</v>
      </c>
      <c r="C504" t="s">
        <v>40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Aolsecent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 31-54</v>
      </c>
      <c r="N505" t="s">
        <v>17</v>
      </c>
    </row>
    <row r="506" spans="1:14">
      <c r="A506">
        <v>25405</v>
      </c>
      <c r="B506" t="s">
        <v>38</v>
      </c>
      <c r="C506" t="s">
        <v>40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 31-54</v>
      </c>
      <c r="N506" t="s">
        <v>17</v>
      </c>
    </row>
    <row r="507" spans="1:14">
      <c r="A507">
        <v>15940</v>
      </c>
      <c r="B507" t="s">
        <v>38</v>
      </c>
      <c r="C507" t="s">
        <v>40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 31-54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 31-54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 31-54</v>
      </c>
      <c r="N509" t="s">
        <v>17</v>
      </c>
    </row>
    <row r="510" spans="1:14">
      <c r="A510">
        <v>16337</v>
      </c>
      <c r="B510" t="s">
        <v>38</v>
      </c>
      <c r="C510" t="s">
        <v>40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Aolsecent</v>
      </c>
      <c r="N510" t="s">
        <v>20</v>
      </c>
    </row>
    <row r="511" spans="1:14">
      <c r="A511">
        <v>24357</v>
      </c>
      <c r="B511" t="s">
        <v>38</v>
      </c>
      <c r="C511" t="s">
        <v>40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 31-54</v>
      </c>
      <c r="N511" t="s">
        <v>17</v>
      </c>
    </row>
    <row r="512" spans="1:14">
      <c r="A512">
        <v>18613</v>
      </c>
      <c r="B512" t="s">
        <v>41</v>
      </c>
      <c r="C512" t="s">
        <v>40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 31-54</v>
      </c>
      <c r="N512" t="s">
        <v>17</v>
      </c>
    </row>
    <row r="513" spans="1:14">
      <c r="A513">
        <v>12207</v>
      </c>
      <c r="B513" t="s">
        <v>41</v>
      </c>
      <c r="C513" t="s">
        <v>40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 55+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 31-54</v>
      </c>
      <c r="N514" t="s">
        <v>17</v>
      </c>
    </row>
    <row r="515" spans="1:14">
      <c r="A515">
        <v>13353</v>
      </c>
      <c r="B515" t="s">
        <v>41</v>
      </c>
      <c r="C515" t="s">
        <v>39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42</v>
      </c>
      <c r="K515" t="s">
        <v>35</v>
      </c>
      <c r="L515">
        <v>61</v>
      </c>
      <c r="M515" t="str">
        <f t="shared" ref="M515:M578" si="8">IF(L515&gt;55,"old 55+",IF(L515&gt;=31,"middle age 31-54",IF(L515&lt;31,"Aolsecent","invalid")))</f>
        <v>old 55+</v>
      </c>
      <c r="N515" t="s">
        <v>17</v>
      </c>
    </row>
    <row r="516" spans="1:14">
      <c r="A516">
        <v>19399</v>
      </c>
      <c r="B516" t="s">
        <v>41</v>
      </c>
      <c r="C516" t="s">
        <v>40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 31-54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 31-54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 31-54</v>
      </c>
      <c r="N518" t="s">
        <v>20</v>
      </c>
    </row>
    <row r="519" spans="1:14">
      <c r="A519">
        <v>17269</v>
      </c>
      <c r="B519" t="s">
        <v>41</v>
      </c>
      <c r="C519" t="s">
        <v>40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 31-54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 31-54</v>
      </c>
      <c r="N520" t="s">
        <v>17</v>
      </c>
    </row>
    <row r="521" spans="1:14">
      <c r="A521">
        <v>15740</v>
      </c>
      <c r="B521" t="s">
        <v>38</v>
      </c>
      <c r="C521" t="s">
        <v>40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 55+</v>
      </c>
      <c r="N521" t="s">
        <v>20</v>
      </c>
    </row>
    <row r="522" spans="1:14">
      <c r="A522">
        <v>27638</v>
      </c>
      <c r="B522" t="s">
        <v>41</v>
      </c>
      <c r="C522" t="s">
        <v>40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 31-54</v>
      </c>
      <c r="N522" t="s">
        <v>20</v>
      </c>
    </row>
    <row r="523" spans="1:14">
      <c r="A523">
        <v>18976</v>
      </c>
      <c r="B523" t="s">
        <v>41</v>
      </c>
      <c r="C523" t="s">
        <v>40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42</v>
      </c>
      <c r="K523" t="s">
        <v>35</v>
      </c>
      <c r="L523">
        <v>62</v>
      </c>
      <c r="M523" t="str">
        <f t="shared" si="8"/>
        <v>old 55+</v>
      </c>
      <c r="N523" t="s">
        <v>17</v>
      </c>
    </row>
    <row r="524" spans="1:14">
      <c r="A524">
        <v>19413</v>
      </c>
      <c r="B524" t="s">
        <v>41</v>
      </c>
      <c r="C524" t="s">
        <v>40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 31-54</v>
      </c>
      <c r="N524" t="s">
        <v>17</v>
      </c>
    </row>
    <row r="525" spans="1:14">
      <c r="A525">
        <v>13283</v>
      </c>
      <c r="B525" t="s">
        <v>38</v>
      </c>
      <c r="C525" t="s">
        <v>40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 31-54</v>
      </c>
      <c r="N525" t="s">
        <v>17</v>
      </c>
    </row>
    <row r="526" spans="1:14">
      <c r="A526">
        <v>17471</v>
      </c>
      <c r="B526" t="s">
        <v>41</v>
      </c>
      <c r="C526" t="s">
        <v>39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 55+</v>
      </c>
      <c r="N526" t="s">
        <v>20</v>
      </c>
    </row>
    <row r="527" spans="1:14">
      <c r="A527">
        <v>16791</v>
      </c>
      <c r="B527" t="s">
        <v>41</v>
      </c>
      <c r="C527" t="s">
        <v>40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42</v>
      </c>
      <c r="K527" t="s">
        <v>35</v>
      </c>
      <c r="L527">
        <v>59</v>
      </c>
      <c r="M527" t="str">
        <f t="shared" si="8"/>
        <v>old 55+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 31-54</v>
      </c>
      <c r="N528" t="s">
        <v>20</v>
      </c>
    </row>
    <row r="529" spans="1:14">
      <c r="A529">
        <v>11641</v>
      </c>
      <c r="B529" t="s">
        <v>38</v>
      </c>
      <c r="C529" t="s">
        <v>40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 31-54</v>
      </c>
      <c r="N529" t="s">
        <v>20</v>
      </c>
    </row>
    <row r="530" spans="1:14">
      <c r="A530">
        <v>11935</v>
      </c>
      <c r="B530" t="s">
        <v>41</v>
      </c>
      <c r="C530" t="s">
        <v>39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Aolsecent</v>
      </c>
      <c r="N530" t="s">
        <v>20</v>
      </c>
    </row>
    <row r="531" spans="1:14">
      <c r="A531">
        <v>13233</v>
      </c>
      <c r="B531" t="s">
        <v>38</v>
      </c>
      <c r="C531" t="s">
        <v>40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42</v>
      </c>
      <c r="K531" t="s">
        <v>35</v>
      </c>
      <c r="L531">
        <v>57</v>
      </c>
      <c r="M531" t="str">
        <f t="shared" si="8"/>
        <v>old 55+</v>
      </c>
      <c r="N531" t="s">
        <v>17</v>
      </c>
    </row>
    <row r="532" spans="1:14">
      <c r="A532">
        <v>25909</v>
      </c>
      <c r="B532" t="s">
        <v>38</v>
      </c>
      <c r="C532" t="s">
        <v>40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Aolsecent</v>
      </c>
      <c r="N532" t="s">
        <v>17</v>
      </c>
    </row>
    <row r="533" spans="1:14">
      <c r="A533">
        <v>14092</v>
      </c>
      <c r="B533" t="s">
        <v>41</v>
      </c>
      <c r="C533" t="s">
        <v>40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Aolsecent</v>
      </c>
      <c r="N533" t="s">
        <v>20</v>
      </c>
    </row>
    <row r="534" spans="1:14">
      <c r="A534">
        <v>29143</v>
      </c>
      <c r="B534" t="s">
        <v>41</v>
      </c>
      <c r="C534" t="s">
        <v>39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 31-54</v>
      </c>
      <c r="N534" t="s">
        <v>17</v>
      </c>
    </row>
    <row r="535" spans="1:14">
      <c r="A535">
        <v>24941</v>
      </c>
      <c r="B535" t="s">
        <v>38</v>
      </c>
      <c r="C535" t="s">
        <v>40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42</v>
      </c>
      <c r="K535" t="s">
        <v>35</v>
      </c>
      <c r="L535">
        <v>66</v>
      </c>
      <c r="M535" t="str">
        <f t="shared" si="8"/>
        <v>old 55+</v>
      </c>
      <c r="N535" t="s">
        <v>20</v>
      </c>
    </row>
    <row r="536" spans="1:14">
      <c r="A536">
        <v>24637</v>
      </c>
      <c r="B536" t="s">
        <v>38</v>
      </c>
      <c r="C536" t="s">
        <v>40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42</v>
      </c>
      <c r="K536" t="s">
        <v>35</v>
      </c>
      <c r="L536">
        <v>64</v>
      </c>
      <c r="M536" t="str">
        <f t="shared" si="8"/>
        <v>old 55+</v>
      </c>
      <c r="N536" t="s">
        <v>20</v>
      </c>
    </row>
    <row r="537" spans="1:14">
      <c r="A537">
        <v>23893</v>
      </c>
      <c r="B537" t="s">
        <v>38</v>
      </c>
      <c r="C537" t="s">
        <v>40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42</v>
      </c>
      <c r="K537" t="s">
        <v>35</v>
      </c>
      <c r="L537">
        <v>41</v>
      </c>
      <c r="M537" t="str">
        <f t="shared" si="8"/>
        <v>middle age 31-54</v>
      </c>
      <c r="N537" t="s">
        <v>20</v>
      </c>
    </row>
    <row r="538" spans="1:14">
      <c r="A538">
        <v>13907</v>
      </c>
      <c r="B538" t="s">
        <v>41</v>
      </c>
      <c r="C538" t="s">
        <v>39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 31-54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 31-54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 31-54</v>
      </c>
      <c r="N540" t="s">
        <v>20</v>
      </c>
    </row>
    <row r="541" spans="1:14">
      <c r="A541">
        <v>22294</v>
      </c>
      <c r="B541" t="s">
        <v>41</v>
      </c>
      <c r="C541" t="s">
        <v>39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 31-54</v>
      </c>
      <c r="N541" t="s">
        <v>17</v>
      </c>
    </row>
    <row r="542" spans="1:14">
      <c r="A542">
        <v>12195</v>
      </c>
      <c r="B542" t="s">
        <v>41</v>
      </c>
      <c r="C542" t="s">
        <v>39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 31-54</v>
      </c>
      <c r="N542" t="s">
        <v>20</v>
      </c>
    </row>
    <row r="543" spans="1:14">
      <c r="A543">
        <v>25375</v>
      </c>
      <c r="B543" t="s">
        <v>38</v>
      </c>
      <c r="C543" t="s">
        <v>40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 31-54</v>
      </c>
      <c r="N543" t="s">
        <v>20</v>
      </c>
    </row>
    <row r="544" spans="1:14">
      <c r="A544">
        <v>11143</v>
      </c>
      <c r="B544" t="s">
        <v>38</v>
      </c>
      <c r="C544" t="s">
        <v>40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Aolsecent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 31-54</v>
      </c>
      <c r="N545" t="s">
        <v>20</v>
      </c>
    </row>
    <row r="546" spans="1:14">
      <c r="A546">
        <v>24397</v>
      </c>
      <c r="B546" t="s">
        <v>41</v>
      </c>
      <c r="C546" t="s">
        <v>40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 31-54</v>
      </c>
      <c r="N546" t="s">
        <v>20</v>
      </c>
    </row>
    <row r="547" spans="1:14">
      <c r="A547">
        <v>19758</v>
      </c>
      <c r="B547" t="s">
        <v>41</v>
      </c>
      <c r="C547" t="s">
        <v>40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Aolsecent</v>
      </c>
      <c r="N547" t="s">
        <v>20</v>
      </c>
    </row>
    <row r="548" spans="1:14">
      <c r="A548">
        <v>15529</v>
      </c>
      <c r="B548" t="s">
        <v>38</v>
      </c>
      <c r="C548" t="s">
        <v>40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 31-54</v>
      </c>
      <c r="N548" t="s">
        <v>17</v>
      </c>
    </row>
    <row r="549" spans="1:14">
      <c r="A549">
        <v>19884</v>
      </c>
      <c r="B549" t="s">
        <v>38</v>
      </c>
      <c r="C549" t="s">
        <v>40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 31-54</v>
      </c>
      <c r="N549" t="s">
        <v>17</v>
      </c>
    </row>
    <row r="550" spans="1:14">
      <c r="A550">
        <v>18674</v>
      </c>
      <c r="B550" t="s">
        <v>41</v>
      </c>
      <c r="C550" t="s">
        <v>39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 31-54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 31-54</v>
      </c>
      <c r="N551" t="s">
        <v>17</v>
      </c>
    </row>
    <row r="552" spans="1:14">
      <c r="A552">
        <v>14063</v>
      </c>
      <c r="B552" t="s">
        <v>41</v>
      </c>
      <c r="C552" t="s">
        <v>39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 31-54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42</v>
      </c>
      <c r="K553" t="s">
        <v>35</v>
      </c>
      <c r="L553">
        <v>63</v>
      </c>
      <c r="M553" t="str">
        <f t="shared" si="8"/>
        <v>old 55+</v>
      </c>
      <c r="N553" t="s">
        <v>20</v>
      </c>
    </row>
    <row r="554" spans="1:14">
      <c r="A554">
        <v>14417</v>
      </c>
      <c r="B554" t="s">
        <v>41</v>
      </c>
      <c r="C554" t="s">
        <v>40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42</v>
      </c>
      <c r="K554" t="s">
        <v>35</v>
      </c>
      <c r="L554">
        <v>54</v>
      </c>
      <c r="M554" t="str">
        <f t="shared" si="8"/>
        <v>middle age 31-54</v>
      </c>
      <c r="N554" t="s">
        <v>17</v>
      </c>
    </row>
    <row r="555" spans="1:14">
      <c r="A555">
        <v>17533</v>
      </c>
      <c r="B555" t="s">
        <v>38</v>
      </c>
      <c r="C555" t="s">
        <v>40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 55+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 31-54</v>
      </c>
      <c r="N556" t="s">
        <v>17</v>
      </c>
    </row>
    <row r="557" spans="1:14">
      <c r="A557">
        <v>17025</v>
      </c>
      <c r="B557" t="s">
        <v>41</v>
      </c>
      <c r="C557" t="s">
        <v>40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 31-54</v>
      </c>
      <c r="N557" t="s">
        <v>17</v>
      </c>
    </row>
    <row r="558" spans="1:14">
      <c r="A558">
        <v>25293</v>
      </c>
      <c r="B558" t="s">
        <v>38</v>
      </c>
      <c r="C558" t="s">
        <v>40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 31-54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 31-54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 31-54</v>
      </c>
      <c r="N560" t="s">
        <v>20</v>
      </c>
    </row>
    <row r="561" spans="1:14">
      <c r="A561">
        <v>15895</v>
      </c>
      <c r="B561" t="s">
        <v>41</v>
      </c>
      <c r="C561" t="s">
        <v>39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42</v>
      </c>
      <c r="K561" t="s">
        <v>35</v>
      </c>
      <c r="L561">
        <v>58</v>
      </c>
      <c r="M561" t="str">
        <f t="shared" si="8"/>
        <v>old 55+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 31-54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 31-54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 31-54</v>
      </c>
      <c r="N564" t="s">
        <v>17</v>
      </c>
    </row>
    <row r="565" spans="1:14">
      <c r="A565">
        <v>25006</v>
      </c>
      <c r="B565" t="s">
        <v>41</v>
      </c>
      <c r="C565" t="s">
        <v>39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Aolsecent</v>
      </c>
      <c r="N565" t="s">
        <v>20</v>
      </c>
    </row>
    <row r="566" spans="1:14">
      <c r="A566">
        <v>17369</v>
      </c>
      <c r="B566" t="s">
        <v>41</v>
      </c>
      <c r="C566" t="s">
        <v>40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Aolsecent</v>
      </c>
      <c r="N566" t="s">
        <v>20</v>
      </c>
    </row>
    <row r="567" spans="1:14">
      <c r="A567">
        <v>14495</v>
      </c>
      <c r="B567" t="s">
        <v>38</v>
      </c>
      <c r="C567" t="s">
        <v>40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 31-54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 55+</v>
      </c>
      <c r="N568" t="s">
        <v>20</v>
      </c>
    </row>
    <row r="569" spans="1:14">
      <c r="A569">
        <v>14754</v>
      </c>
      <c r="B569" t="s">
        <v>38</v>
      </c>
      <c r="C569" t="s">
        <v>40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 31-54</v>
      </c>
      <c r="N569" t="s">
        <v>17</v>
      </c>
    </row>
    <row r="570" spans="1:14">
      <c r="A570">
        <v>23378</v>
      </c>
      <c r="B570" t="s">
        <v>38</v>
      </c>
      <c r="C570" t="s">
        <v>40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 31-54</v>
      </c>
      <c r="N570" t="s">
        <v>17</v>
      </c>
    </row>
    <row r="571" spans="1:14">
      <c r="A571">
        <v>26452</v>
      </c>
      <c r="B571" t="s">
        <v>41</v>
      </c>
      <c r="C571" t="s">
        <v>40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42</v>
      </c>
      <c r="K571" t="s">
        <v>35</v>
      </c>
      <c r="L571">
        <v>69</v>
      </c>
      <c r="M571" t="str">
        <f t="shared" si="8"/>
        <v>old 55+</v>
      </c>
      <c r="N571" t="s">
        <v>20</v>
      </c>
    </row>
    <row r="572" spans="1:14">
      <c r="A572">
        <v>20370</v>
      </c>
      <c r="B572" t="s">
        <v>38</v>
      </c>
      <c r="C572" t="s">
        <v>40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 31-54</v>
      </c>
      <c r="N572" t="s">
        <v>20</v>
      </c>
    </row>
    <row r="573" spans="1:14">
      <c r="A573">
        <v>20528</v>
      </c>
      <c r="B573" t="s">
        <v>38</v>
      </c>
      <c r="C573" t="s">
        <v>40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 31-54</v>
      </c>
      <c r="N573" t="s">
        <v>20</v>
      </c>
    </row>
    <row r="574" spans="1:14">
      <c r="A574">
        <v>23549</v>
      </c>
      <c r="B574" t="s">
        <v>41</v>
      </c>
      <c r="C574" t="s">
        <v>40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Aolsecent</v>
      </c>
      <c r="N574" t="s">
        <v>20</v>
      </c>
    </row>
    <row r="575" spans="1:14">
      <c r="A575">
        <v>21751</v>
      </c>
      <c r="B575" t="s">
        <v>38</v>
      </c>
      <c r="C575" t="s">
        <v>40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 55+</v>
      </c>
      <c r="N575" t="s">
        <v>20</v>
      </c>
    </row>
    <row r="576" spans="1:14">
      <c r="A576">
        <v>21266</v>
      </c>
      <c r="B576" t="s">
        <v>41</v>
      </c>
      <c r="C576" t="s">
        <v>39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 31-54</v>
      </c>
      <c r="N576" t="s">
        <v>17</v>
      </c>
    </row>
    <row r="577" spans="1:14">
      <c r="A577">
        <v>13388</v>
      </c>
      <c r="B577" t="s">
        <v>41</v>
      </c>
      <c r="C577" t="s">
        <v>40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42</v>
      </c>
      <c r="K577" t="s">
        <v>35</v>
      </c>
      <c r="L577">
        <v>56</v>
      </c>
      <c r="M577" t="str">
        <f t="shared" si="8"/>
        <v>old 55+</v>
      </c>
      <c r="N577" t="s">
        <v>20</v>
      </c>
    </row>
    <row r="578" spans="1:14">
      <c r="A578">
        <v>18752</v>
      </c>
      <c r="B578" t="s">
        <v>41</v>
      </c>
      <c r="C578" t="s">
        <v>39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 31-54</v>
      </c>
      <c r="N578" t="s">
        <v>20</v>
      </c>
    </row>
    <row r="579" spans="1:14">
      <c r="A579">
        <v>16917</v>
      </c>
      <c r="B579" t="s">
        <v>38</v>
      </c>
      <c r="C579" t="s">
        <v>40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IF(L579&gt;55,"old 55+",IF(L579&gt;=31,"middle age 31-54",IF(L579&lt;31,"Aolsecent","invalid")))</f>
        <v>middle age 31-54</v>
      </c>
      <c r="N579" t="s">
        <v>20</v>
      </c>
    </row>
    <row r="580" spans="1:14">
      <c r="A580">
        <v>15313</v>
      </c>
      <c r="B580" t="s">
        <v>38</v>
      </c>
      <c r="C580" t="s">
        <v>40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 55+</v>
      </c>
      <c r="N580" t="s">
        <v>20</v>
      </c>
    </row>
    <row r="581" spans="1:14">
      <c r="A581">
        <v>25329</v>
      </c>
      <c r="B581" t="s">
        <v>41</v>
      </c>
      <c r="C581" t="s">
        <v>39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 31-54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42</v>
      </c>
      <c r="K582" t="s">
        <v>35</v>
      </c>
      <c r="L582">
        <v>69</v>
      </c>
      <c r="M582" t="str">
        <f t="shared" si="9"/>
        <v>old 55+</v>
      </c>
      <c r="N582" t="s">
        <v>20</v>
      </c>
    </row>
    <row r="583" spans="1:14">
      <c r="A583">
        <v>23089</v>
      </c>
      <c r="B583" t="s">
        <v>38</v>
      </c>
      <c r="C583" t="s">
        <v>40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Aolsecent</v>
      </c>
      <c r="N583" t="s">
        <v>20</v>
      </c>
    </row>
    <row r="584" spans="1:14">
      <c r="A584">
        <v>13749</v>
      </c>
      <c r="B584" t="s">
        <v>38</v>
      </c>
      <c r="C584" t="s">
        <v>40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 31-54</v>
      </c>
      <c r="N584" t="s">
        <v>20</v>
      </c>
    </row>
    <row r="585" spans="1:14">
      <c r="A585">
        <v>24943</v>
      </c>
      <c r="B585" t="s">
        <v>38</v>
      </c>
      <c r="C585" t="s">
        <v>40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42</v>
      </c>
      <c r="K585" t="s">
        <v>35</v>
      </c>
      <c r="L585">
        <v>66</v>
      </c>
      <c r="M585" t="str">
        <f t="shared" si="9"/>
        <v>old 55+</v>
      </c>
      <c r="N585" t="s">
        <v>20</v>
      </c>
    </row>
    <row r="586" spans="1:14">
      <c r="A586">
        <v>28667</v>
      </c>
      <c r="B586" t="s">
        <v>41</v>
      </c>
      <c r="C586" t="s">
        <v>40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 31-54</v>
      </c>
      <c r="N586" t="s">
        <v>17</v>
      </c>
    </row>
    <row r="587" spans="1:14">
      <c r="A587">
        <v>15194</v>
      </c>
      <c r="B587" t="s">
        <v>41</v>
      </c>
      <c r="C587" t="s">
        <v>40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 31-54</v>
      </c>
      <c r="N587" t="s">
        <v>17</v>
      </c>
    </row>
    <row r="588" spans="1:14">
      <c r="A588">
        <v>17436</v>
      </c>
      <c r="B588" t="s">
        <v>38</v>
      </c>
      <c r="C588" t="s">
        <v>40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 31-54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 31-54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42</v>
      </c>
      <c r="K590" t="s">
        <v>35</v>
      </c>
      <c r="L590">
        <v>51</v>
      </c>
      <c r="M590" t="str">
        <f t="shared" si="9"/>
        <v>middle age 31-54</v>
      </c>
      <c r="N590" t="s">
        <v>17</v>
      </c>
    </row>
    <row r="591" spans="1:14">
      <c r="A591">
        <v>12100</v>
      </c>
      <c r="B591" t="s">
        <v>41</v>
      </c>
      <c r="C591" t="s">
        <v>40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42</v>
      </c>
      <c r="K591" t="s">
        <v>35</v>
      </c>
      <c r="L591">
        <v>57</v>
      </c>
      <c r="M591" t="str">
        <f t="shared" si="9"/>
        <v>old 55+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 31-54</v>
      </c>
      <c r="N592" t="s">
        <v>17</v>
      </c>
    </row>
    <row r="593" spans="1:14">
      <c r="A593">
        <v>18545</v>
      </c>
      <c r="B593" t="s">
        <v>38</v>
      </c>
      <c r="C593" t="s">
        <v>40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42</v>
      </c>
      <c r="K593" t="s">
        <v>35</v>
      </c>
      <c r="L593">
        <v>61</v>
      </c>
      <c r="M593" t="str">
        <f t="shared" si="9"/>
        <v>old 55+</v>
      </c>
      <c r="N593" t="s">
        <v>17</v>
      </c>
    </row>
    <row r="594" spans="1:14">
      <c r="A594">
        <v>18391</v>
      </c>
      <c r="B594" t="s">
        <v>41</v>
      </c>
      <c r="C594" t="s">
        <v>39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 31-54</v>
      </c>
      <c r="N594" t="s">
        <v>20</v>
      </c>
    </row>
    <row r="595" spans="1:14">
      <c r="A595">
        <v>19812</v>
      </c>
      <c r="B595" t="s">
        <v>41</v>
      </c>
      <c r="C595" t="s">
        <v>39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 31-54</v>
      </c>
      <c r="N595" t="s">
        <v>17</v>
      </c>
    </row>
    <row r="596" spans="1:14">
      <c r="A596">
        <v>27660</v>
      </c>
      <c r="B596" t="s">
        <v>38</v>
      </c>
      <c r="C596" t="s">
        <v>40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 55+</v>
      </c>
      <c r="N596" t="s">
        <v>20</v>
      </c>
    </row>
    <row r="597" spans="1:14">
      <c r="A597">
        <v>18058</v>
      </c>
      <c r="B597" t="s">
        <v>41</v>
      </c>
      <c r="C597" t="s">
        <v>39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 55+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 31-54</v>
      </c>
      <c r="N598" t="s">
        <v>20</v>
      </c>
    </row>
    <row r="599" spans="1:14">
      <c r="A599">
        <v>28997</v>
      </c>
      <c r="B599" t="s">
        <v>41</v>
      </c>
      <c r="C599" t="s">
        <v>40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 55+</v>
      </c>
      <c r="N599" t="s">
        <v>17</v>
      </c>
    </row>
    <row r="600" spans="1:14">
      <c r="A600">
        <v>24398</v>
      </c>
      <c r="B600" t="s">
        <v>38</v>
      </c>
      <c r="C600" t="s">
        <v>40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 31-54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 55+</v>
      </c>
      <c r="N601" t="s">
        <v>17</v>
      </c>
    </row>
    <row r="602" spans="1:14">
      <c r="A602">
        <v>28609</v>
      </c>
      <c r="B602" t="s">
        <v>38</v>
      </c>
      <c r="C602" t="s">
        <v>40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 31-54</v>
      </c>
      <c r="N602" t="s">
        <v>20</v>
      </c>
    </row>
    <row r="603" spans="1:14">
      <c r="A603">
        <v>29231</v>
      </c>
      <c r="B603" t="s">
        <v>41</v>
      </c>
      <c r="C603" t="s">
        <v>40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 31-54</v>
      </c>
      <c r="N603" t="s">
        <v>20</v>
      </c>
    </row>
    <row r="604" spans="1:14">
      <c r="A604">
        <v>18858</v>
      </c>
      <c r="B604" t="s">
        <v>41</v>
      </c>
      <c r="C604" t="s">
        <v>40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 31-54</v>
      </c>
      <c r="N604" t="s">
        <v>17</v>
      </c>
    </row>
    <row r="605" spans="1:14">
      <c r="A605">
        <v>20000</v>
      </c>
      <c r="B605" t="s">
        <v>38</v>
      </c>
      <c r="C605" t="s">
        <v>40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 31-54</v>
      </c>
      <c r="N605" t="s">
        <v>17</v>
      </c>
    </row>
    <row r="606" spans="1:14">
      <c r="A606">
        <v>25261</v>
      </c>
      <c r="B606" t="s">
        <v>38</v>
      </c>
      <c r="C606" t="s">
        <v>40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Aolsecent</v>
      </c>
      <c r="N606" t="s">
        <v>20</v>
      </c>
    </row>
    <row r="607" spans="1:14">
      <c r="A607">
        <v>17458</v>
      </c>
      <c r="B607" t="s">
        <v>41</v>
      </c>
      <c r="C607" t="s">
        <v>40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 31-54</v>
      </c>
      <c r="N607" t="s">
        <v>17</v>
      </c>
    </row>
    <row r="608" spans="1:14">
      <c r="A608">
        <v>11644</v>
      </c>
      <c r="B608" t="s">
        <v>41</v>
      </c>
      <c r="C608" t="s">
        <v>40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 31-54</v>
      </c>
      <c r="N608" t="s">
        <v>20</v>
      </c>
    </row>
    <row r="609" spans="1:14">
      <c r="A609">
        <v>16145</v>
      </c>
      <c r="B609" t="s">
        <v>41</v>
      </c>
      <c r="C609" t="s">
        <v>39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42</v>
      </c>
      <c r="K609" t="s">
        <v>35</v>
      </c>
      <c r="L609">
        <v>46</v>
      </c>
      <c r="M609" t="str">
        <f t="shared" si="9"/>
        <v>middle age 31-54</v>
      </c>
      <c r="N609" t="s">
        <v>17</v>
      </c>
    </row>
    <row r="610" spans="1:14">
      <c r="A610">
        <v>16890</v>
      </c>
      <c r="B610" t="s">
        <v>38</v>
      </c>
      <c r="C610" t="s">
        <v>40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 31-54</v>
      </c>
      <c r="N610" t="s">
        <v>17</v>
      </c>
    </row>
    <row r="611" spans="1:14">
      <c r="A611">
        <v>25983</v>
      </c>
      <c r="B611" t="s">
        <v>38</v>
      </c>
      <c r="C611" t="s">
        <v>40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 31-54</v>
      </c>
      <c r="N611" t="s">
        <v>20</v>
      </c>
    </row>
    <row r="612" spans="1:14">
      <c r="A612">
        <v>14633</v>
      </c>
      <c r="B612" t="s">
        <v>38</v>
      </c>
      <c r="C612" t="s">
        <v>40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 31-54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 31-54</v>
      </c>
      <c r="N613" t="s">
        <v>17</v>
      </c>
    </row>
    <row r="614" spans="1:14">
      <c r="A614">
        <v>22983</v>
      </c>
      <c r="B614" t="s">
        <v>41</v>
      </c>
      <c r="C614" t="s">
        <v>39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Aolsecent</v>
      </c>
      <c r="N614" t="s">
        <v>20</v>
      </c>
    </row>
    <row r="615" spans="1:14">
      <c r="A615">
        <v>25184</v>
      </c>
      <c r="B615" t="s">
        <v>41</v>
      </c>
      <c r="C615" t="s">
        <v>40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 31-54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 31-54</v>
      </c>
      <c r="N616" t="s">
        <v>20</v>
      </c>
    </row>
    <row r="617" spans="1:14">
      <c r="A617">
        <v>11538</v>
      </c>
      <c r="B617" t="s">
        <v>41</v>
      </c>
      <c r="C617" t="s">
        <v>39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 31-54</v>
      </c>
      <c r="N617" t="s">
        <v>17</v>
      </c>
    </row>
    <row r="618" spans="1:14">
      <c r="A618">
        <v>16245</v>
      </c>
      <c r="B618" t="s">
        <v>41</v>
      </c>
      <c r="C618" t="s">
        <v>39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 31-54</v>
      </c>
      <c r="N618" t="s">
        <v>20</v>
      </c>
    </row>
    <row r="619" spans="1:14">
      <c r="A619">
        <v>17858</v>
      </c>
      <c r="B619" t="s">
        <v>38</v>
      </c>
      <c r="C619" t="s">
        <v>40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 31-54</v>
      </c>
      <c r="N619" t="s">
        <v>17</v>
      </c>
    </row>
    <row r="620" spans="1:14">
      <c r="A620">
        <v>25347</v>
      </c>
      <c r="B620" t="s">
        <v>41</v>
      </c>
      <c r="C620" t="s">
        <v>39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 31-54</v>
      </c>
      <c r="N620" t="s">
        <v>20</v>
      </c>
    </row>
    <row r="621" spans="1:14">
      <c r="A621">
        <v>15814</v>
      </c>
      <c r="B621" t="s">
        <v>41</v>
      </c>
      <c r="C621" t="s">
        <v>39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Aolsecent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 31-54</v>
      </c>
      <c r="N622" t="s">
        <v>17</v>
      </c>
    </row>
    <row r="623" spans="1:14">
      <c r="A623">
        <v>11200</v>
      </c>
      <c r="B623" t="s">
        <v>38</v>
      </c>
      <c r="C623" t="s">
        <v>40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 55+</v>
      </c>
      <c r="N623" t="s">
        <v>20</v>
      </c>
    </row>
    <row r="624" spans="1:14">
      <c r="A624">
        <v>25101</v>
      </c>
      <c r="B624" t="s">
        <v>38</v>
      </c>
      <c r="C624" t="s">
        <v>40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 31-54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 31-54</v>
      </c>
      <c r="N625" t="s">
        <v>20</v>
      </c>
    </row>
    <row r="626" spans="1:14">
      <c r="A626">
        <v>25943</v>
      </c>
      <c r="B626" t="s">
        <v>41</v>
      </c>
      <c r="C626" t="s">
        <v>39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Aolsecent</v>
      </c>
      <c r="N626" t="s">
        <v>17</v>
      </c>
    </row>
    <row r="627" spans="1:14">
      <c r="A627">
        <v>22127</v>
      </c>
      <c r="B627" t="s">
        <v>38</v>
      </c>
      <c r="C627" t="s">
        <v>40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 55+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Aolsecent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 55+</v>
      </c>
      <c r="N629" t="s">
        <v>20</v>
      </c>
    </row>
    <row r="630" spans="1:14">
      <c r="A630">
        <v>29255</v>
      </c>
      <c r="B630" t="s">
        <v>41</v>
      </c>
      <c r="C630" t="s">
        <v>40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 31-54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 31-54</v>
      </c>
      <c r="N631" t="s">
        <v>20</v>
      </c>
    </row>
    <row r="632" spans="1:14">
      <c r="A632">
        <v>27753</v>
      </c>
      <c r="B632" t="s">
        <v>38</v>
      </c>
      <c r="C632" t="s">
        <v>40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Aolsecent</v>
      </c>
      <c r="N632" t="s">
        <v>20</v>
      </c>
    </row>
    <row r="633" spans="1:14">
      <c r="A633">
        <v>27643</v>
      </c>
      <c r="B633" t="s">
        <v>41</v>
      </c>
      <c r="C633" t="s">
        <v>40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 31-54</v>
      </c>
      <c r="N633" t="s">
        <v>20</v>
      </c>
    </row>
    <row r="634" spans="1:14">
      <c r="A634">
        <v>13754</v>
      </c>
      <c r="B634" t="s">
        <v>41</v>
      </c>
      <c r="C634" t="s">
        <v>39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 31-54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 31-54</v>
      </c>
      <c r="N635" t="s">
        <v>17</v>
      </c>
    </row>
    <row r="636" spans="1:14">
      <c r="A636">
        <v>27388</v>
      </c>
      <c r="B636" t="s">
        <v>38</v>
      </c>
      <c r="C636" t="s">
        <v>40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 55+</v>
      </c>
      <c r="N636" t="s">
        <v>20</v>
      </c>
    </row>
    <row r="637" spans="1:14">
      <c r="A637">
        <v>24745</v>
      </c>
      <c r="B637" t="s">
        <v>41</v>
      </c>
      <c r="C637" t="s">
        <v>39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 31-54</v>
      </c>
      <c r="N637" t="s">
        <v>20</v>
      </c>
    </row>
    <row r="638" spans="1:14">
      <c r="A638">
        <v>29237</v>
      </c>
      <c r="B638" t="s">
        <v>41</v>
      </c>
      <c r="C638" t="s">
        <v>39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 31-54</v>
      </c>
      <c r="N638" t="s">
        <v>17</v>
      </c>
    </row>
    <row r="639" spans="1:14">
      <c r="A639">
        <v>15272</v>
      </c>
      <c r="B639" t="s">
        <v>41</v>
      </c>
      <c r="C639" t="s">
        <v>40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Aolsecent</v>
      </c>
      <c r="N639" t="s">
        <v>20</v>
      </c>
    </row>
    <row r="640" spans="1:14">
      <c r="A640">
        <v>18949</v>
      </c>
      <c r="B640" t="s">
        <v>41</v>
      </c>
      <c r="C640" t="s">
        <v>40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 55+</v>
      </c>
      <c r="N640" t="s">
        <v>17</v>
      </c>
    </row>
    <row r="641" spans="1:14">
      <c r="A641">
        <v>14507</v>
      </c>
      <c r="B641" t="s">
        <v>38</v>
      </c>
      <c r="C641" t="s">
        <v>40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 55+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 55+</v>
      </c>
      <c r="N642" t="s">
        <v>17</v>
      </c>
    </row>
    <row r="643" spans="1:14">
      <c r="A643">
        <v>21441</v>
      </c>
      <c r="B643" t="s">
        <v>38</v>
      </c>
      <c r="C643" t="s">
        <v>40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42</v>
      </c>
      <c r="K643" t="s">
        <v>35</v>
      </c>
      <c r="L643">
        <v>64</v>
      </c>
      <c r="M643" t="str">
        <f t="shared" ref="M643:M706" si="10">IF(L643&gt;55,"old 55+",IF(L643&gt;=31,"middle age 31-54",IF(L643&lt;31,"Aolsecent","invalid")))</f>
        <v>old 55+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 31-54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 31-54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42</v>
      </c>
      <c r="K646" t="s">
        <v>35</v>
      </c>
      <c r="L646">
        <v>41</v>
      </c>
      <c r="M646" t="str">
        <f t="shared" si="10"/>
        <v>middle age 31-54</v>
      </c>
      <c r="N646" t="s">
        <v>20</v>
      </c>
    </row>
    <row r="647" spans="1:14">
      <c r="A647">
        <v>16217</v>
      </c>
      <c r="B647" t="s">
        <v>41</v>
      </c>
      <c r="C647" t="s">
        <v>39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 31-54</v>
      </c>
      <c r="N647" t="s">
        <v>20</v>
      </c>
    </row>
    <row r="648" spans="1:14">
      <c r="A648">
        <v>16247</v>
      </c>
      <c r="B648" t="s">
        <v>41</v>
      </c>
      <c r="C648" t="s">
        <v>39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 31-54</v>
      </c>
      <c r="N648" t="s">
        <v>20</v>
      </c>
    </row>
    <row r="649" spans="1:14">
      <c r="A649">
        <v>22010</v>
      </c>
      <c r="B649" t="s">
        <v>41</v>
      </c>
      <c r="C649" t="s">
        <v>40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 31-54</v>
      </c>
      <c r="N649" t="s">
        <v>20</v>
      </c>
    </row>
    <row r="650" spans="1:14">
      <c r="A650">
        <v>25872</v>
      </c>
      <c r="B650" t="s">
        <v>41</v>
      </c>
      <c r="C650" t="s">
        <v>39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 55+</v>
      </c>
      <c r="N650" t="s">
        <v>17</v>
      </c>
    </row>
    <row r="651" spans="1:14">
      <c r="A651">
        <v>19164</v>
      </c>
      <c r="B651" t="s">
        <v>41</v>
      </c>
      <c r="C651" t="s">
        <v>39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 31-54</v>
      </c>
      <c r="N651" t="s">
        <v>17</v>
      </c>
    </row>
    <row r="652" spans="1:14">
      <c r="A652">
        <v>18435</v>
      </c>
      <c r="B652" t="s">
        <v>41</v>
      </c>
      <c r="C652" t="s">
        <v>39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42</v>
      </c>
      <c r="K652" t="s">
        <v>35</v>
      </c>
      <c r="L652">
        <v>67</v>
      </c>
      <c r="M652" t="str">
        <f t="shared" si="10"/>
        <v>old 55+</v>
      </c>
      <c r="N652" t="s">
        <v>17</v>
      </c>
    </row>
    <row r="653" spans="1:14">
      <c r="A653">
        <v>14284</v>
      </c>
      <c r="B653" t="s">
        <v>41</v>
      </c>
      <c r="C653" t="s">
        <v>40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 31-54</v>
      </c>
      <c r="N653" t="s">
        <v>17</v>
      </c>
    </row>
    <row r="654" spans="1:14">
      <c r="A654">
        <v>11287</v>
      </c>
      <c r="B654" t="s">
        <v>38</v>
      </c>
      <c r="C654" t="s">
        <v>40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 31-54</v>
      </c>
      <c r="N654" t="s">
        <v>20</v>
      </c>
    </row>
    <row r="655" spans="1:14">
      <c r="A655">
        <v>13066</v>
      </c>
      <c r="B655" t="s">
        <v>41</v>
      </c>
      <c r="C655" t="s">
        <v>40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 31-54</v>
      </c>
      <c r="N655" t="s">
        <v>17</v>
      </c>
    </row>
    <row r="656" spans="1:14">
      <c r="A656">
        <v>29106</v>
      </c>
      <c r="B656" t="s">
        <v>41</v>
      </c>
      <c r="C656" t="s">
        <v>40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 31-54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 31-54</v>
      </c>
      <c r="N657" t="s">
        <v>20</v>
      </c>
    </row>
    <row r="658" spans="1:14">
      <c r="A658">
        <v>17531</v>
      </c>
      <c r="B658" t="s">
        <v>38</v>
      </c>
      <c r="C658" t="s">
        <v>40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 31-54</v>
      </c>
      <c r="N658" t="s">
        <v>20</v>
      </c>
    </row>
    <row r="659" spans="1:14">
      <c r="A659">
        <v>12964</v>
      </c>
      <c r="B659" t="s">
        <v>38</v>
      </c>
      <c r="C659" t="s">
        <v>40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 31-54</v>
      </c>
      <c r="N659" t="s">
        <v>20</v>
      </c>
    </row>
    <row r="660" spans="1:14">
      <c r="A660">
        <v>19133</v>
      </c>
      <c r="B660" t="s">
        <v>41</v>
      </c>
      <c r="C660" t="s">
        <v>40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 31-54</v>
      </c>
      <c r="N660" t="s">
        <v>17</v>
      </c>
    </row>
    <row r="661" spans="1:14">
      <c r="A661">
        <v>24643</v>
      </c>
      <c r="B661" t="s">
        <v>41</v>
      </c>
      <c r="C661" t="s">
        <v>39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42</v>
      </c>
      <c r="K661" t="s">
        <v>35</v>
      </c>
      <c r="L661">
        <v>63</v>
      </c>
      <c r="M661" t="str">
        <f t="shared" si="10"/>
        <v>old 55+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 31-54</v>
      </c>
      <c r="N662" t="s">
        <v>17</v>
      </c>
    </row>
    <row r="663" spans="1:14">
      <c r="A663">
        <v>22976</v>
      </c>
      <c r="B663" t="s">
        <v>41</v>
      </c>
      <c r="C663" t="s">
        <v>40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Aolsecent</v>
      </c>
      <c r="N663" t="s">
        <v>17</v>
      </c>
    </row>
    <row r="664" spans="1:14">
      <c r="A664">
        <v>27637</v>
      </c>
      <c r="B664" t="s">
        <v>41</v>
      </c>
      <c r="C664" t="s">
        <v>39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 31-54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 31-54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 31-54</v>
      </c>
      <c r="N666" t="s">
        <v>17</v>
      </c>
    </row>
    <row r="667" spans="1:14">
      <c r="A667">
        <v>14443</v>
      </c>
      <c r="B667" t="s">
        <v>38</v>
      </c>
      <c r="C667" t="s">
        <v>40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 31-54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 31-54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42</v>
      </c>
      <c r="K669" t="s">
        <v>35</v>
      </c>
      <c r="L669">
        <v>61</v>
      </c>
      <c r="M669" t="str">
        <f t="shared" si="10"/>
        <v>old 55+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 31-54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 31-54</v>
      </c>
      <c r="N671" t="s">
        <v>20</v>
      </c>
    </row>
    <row r="672" spans="1:14">
      <c r="A672">
        <v>21471</v>
      </c>
      <c r="B672" t="s">
        <v>38</v>
      </c>
      <c r="C672" t="s">
        <v>40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42</v>
      </c>
      <c r="K672" t="s">
        <v>35</v>
      </c>
      <c r="L672">
        <v>59</v>
      </c>
      <c r="M672" t="str">
        <f t="shared" si="10"/>
        <v>old 55+</v>
      </c>
      <c r="N672" t="s">
        <v>20</v>
      </c>
    </row>
    <row r="673" spans="1:14">
      <c r="A673">
        <v>22252</v>
      </c>
      <c r="B673" t="s">
        <v>41</v>
      </c>
      <c r="C673" t="s">
        <v>39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 31-54</v>
      </c>
      <c r="N673" t="s">
        <v>17</v>
      </c>
    </row>
    <row r="674" spans="1:14">
      <c r="A674">
        <v>21260</v>
      </c>
      <c r="B674" t="s">
        <v>41</v>
      </c>
      <c r="C674" t="s">
        <v>39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Aolsecent</v>
      </c>
      <c r="N674" t="s">
        <v>20</v>
      </c>
    </row>
    <row r="675" spans="1:14">
      <c r="A675">
        <v>11817</v>
      </c>
      <c r="B675" t="s">
        <v>41</v>
      </c>
      <c r="C675" t="s">
        <v>39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 31-54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 31-54</v>
      </c>
      <c r="N676" t="s">
        <v>20</v>
      </c>
    </row>
    <row r="677" spans="1:14">
      <c r="A677">
        <v>18517</v>
      </c>
      <c r="B677" t="s">
        <v>38</v>
      </c>
      <c r="C677" t="s">
        <v>40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 31-54</v>
      </c>
      <c r="N677" t="s">
        <v>20</v>
      </c>
    </row>
    <row r="678" spans="1:14">
      <c r="A678">
        <v>21717</v>
      </c>
      <c r="B678" t="s">
        <v>38</v>
      </c>
      <c r="C678" t="s">
        <v>40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 31-54</v>
      </c>
      <c r="N678" t="s">
        <v>20</v>
      </c>
    </row>
    <row r="679" spans="1:14">
      <c r="A679">
        <v>13760</v>
      </c>
      <c r="B679" t="s">
        <v>38</v>
      </c>
      <c r="C679" t="s">
        <v>40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 31-54</v>
      </c>
      <c r="N679" t="s">
        <v>20</v>
      </c>
    </row>
    <row r="680" spans="1:14">
      <c r="A680">
        <v>18145</v>
      </c>
      <c r="B680" t="s">
        <v>38</v>
      </c>
      <c r="C680" t="s">
        <v>40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 55+</v>
      </c>
      <c r="N680" t="s">
        <v>20</v>
      </c>
    </row>
    <row r="681" spans="1:14">
      <c r="A681">
        <v>21770</v>
      </c>
      <c r="B681" t="s">
        <v>38</v>
      </c>
      <c r="C681" t="s">
        <v>40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42</v>
      </c>
      <c r="K681" t="s">
        <v>35</v>
      </c>
      <c r="L681">
        <v>60</v>
      </c>
      <c r="M681" t="str">
        <f t="shared" si="10"/>
        <v>old 55+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 31-54</v>
      </c>
      <c r="N682" t="s">
        <v>20</v>
      </c>
    </row>
    <row r="683" spans="1:14">
      <c r="A683">
        <v>16377</v>
      </c>
      <c r="B683" t="s">
        <v>41</v>
      </c>
      <c r="C683" t="s">
        <v>39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 31-54</v>
      </c>
      <c r="N683" t="s">
        <v>20</v>
      </c>
    </row>
    <row r="684" spans="1:14">
      <c r="A684">
        <v>26248</v>
      </c>
      <c r="B684" t="s">
        <v>38</v>
      </c>
      <c r="C684" t="s">
        <v>40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 31-54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 31-54</v>
      </c>
      <c r="N685" t="s">
        <v>20</v>
      </c>
    </row>
    <row r="686" spans="1:14">
      <c r="A686">
        <v>29133</v>
      </c>
      <c r="B686" t="s">
        <v>41</v>
      </c>
      <c r="C686" t="s">
        <v>39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 31-54</v>
      </c>
      <c r="N686" t="s">
        <v>20</v>
      </c>
    </row>
    <row r="687" spans="1:14">
      <c r="A687">
        <v>27673</v>
      </c>
      <c r="B687" t="s">
        <v>41</v>
      </c>
      <c r="C687" t="s">
        <v>39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 31-54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 31-54</v>
      </c>
      <c r="N688" t="s">
        <v>17</v>
      </c>
    </row>
    <row r="689" spans="1:14">
      <c r="A689">
        <v>18910</v>
      </c>
      <c r="B689" t="s">
        <v>41</v>
      </c>
      <c r="C689" t="s">
        <v>40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Aolsecent</v>
      </c>
      <c r="N689" t="s">
        <v>20</v>
      </c>
    </row>
    <row r="690" spans="1:14">
      <c r="A690">
        <v>11699</v>
      </c>
      <c r="B690" t="s">
        <v>41</v>
      </c>
      <c r="C690" t="s">
        <v>40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Aolsecent</v>
      </c>
      <c r="N690" t="s">
        <v>20</v>
      </c>
    </row>
    <row r="691" spans="1:14">
      <c r="A691">
        <v>16725</v>
      </c>
      <c r="B691" t="s">
        <v>38</v>
      </c>
      <c r="C691" t="s">
        <v>40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Aolsecent</v>
      </c>
      <c r="N691" t="s">
        <v>20</v>
      </c>
    </row>
    <row r="692" spans="1:14">
      <c r="A692">
        <v>28269</v>
      </c>
      <c r="B692" t="s">
        <v>41</v>
      </c>
      <c r="C692" t="s">
        <v>39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 31-54</v>
      </c>
      <c r="N692" t="s">
        <v>20</v>
      </c>
    </row>
    <row r="693" spans="1:14">
      <c r="A693">
        <v>23144</v>
      </c>
      <c r="B693" t="s">
        <v>38</v>
      </c>
      <c r="C693" t="s">
        <v>40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 31-54</v>
      </c>
      <c r="N693" t="s">
        <v>17</v>
      </c>
    </row>
    <row r="694" spans="1:14">
      <c r="A694">
        <v>23376</v>
      </c>
      <c r="B694" t="s">
        <v>38</v>
      </c>
      <c r="C694" t="s">
        <v>40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 31-54</v>
      </c>
      <c r="N694" t="s">
        <v>17</v>
      </c>
    </row>
    <row r="695" spans="1:14">
      <c r="A695">
        <v>25970</v>
      </c>
      <c r="B695" t="s">
        <v>41</v>
      </c>
      <c r="C695" t="s">
        <v>39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 31-54</v>
      </c>
      <c r="N695" t="s">
        <v>17</v>
      </c>
    </row>
    <row r="696" spans="1:14">
      <c r="A696">
        <v>28068</v>
      </c>
      <c r="B696" t="s">
        <v>41</v>
      </c>
      <c r="C696" t="s">
        <v>39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 31-54</v>
      </c>
      <c r="N696" t="s">
        <v>17</v>
      </c>
    </row>
    <row r="697" spans="1:14">
      <c r="A697">
        <v>18390</v>
      </c>
      <c r="B697" t="s">
        <v>38</v>
      </c>
      <c r="C697" t="s">
        <v>40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 31-54</v>
      </c>
      <c r="N697" t="s">
        <v>20</v>
      </c>
    </row>
    <row r="698" spans="1:14">
      <c r="A698">
        <v>29112</v>
      </c>
      <c r="B698" t="s">
        <v>41</v>
      </c>
      <c r="C698" t="s">
        <v>40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Aolsecent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Aolsecent</v>
      </c>
      <c r="N699" t="s">
        <v>20</v>
      </c>
    </row>
    <row r="700" spans="1:14">
      <c r="A700">
        <v>27040</v>
      </c>
      <c r="B700" t="s">
        <v>38</v>
      </c>
      <c r="C700" t="s">
        <v>40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 31-54</v>
      </c>
      <c r="N700" t="s">
        <v>20</v>
      </c>
    </row>
    <row r="701" spans="1:14">
      <c r="A701">
        <v>23479</v>
      </c>
      <c r="B701" t="s">
        <v>41</v>
      </c>
      <c r="C701" t="s">
        <v>40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 31-54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 55+</v>
      </c>
      <c r="N702" t="s">
        <v>20</v>
      </c>
    </row>
    <row r="703" spans="1:14">
      <c r="A703">
        <v>22014</v>
      </c>
      <c r="B703" t="s">
        <v>41</v>
      </c>
      <c r="C703" t="s">
        <v>40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Aolsecent</v>
      </c>
      <c r="N703" t="s">
        <v>20</v>
      </c>
    </row>
    <row r="704" spans="1:14">
      <c r="A704">
        <v>13314</v>
      </c>
      <c r="B704" t="s">
        <v>38</v>
      </c>
      <c r="C704" t="s">
        <v>40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 31-54</v>
      </c>
      <c r="N704" t="s">
        <v>17</v>
      </c>
    </row>
    <row r="705" spans="1:14">
      <c r="A705">
        <v>11619</v>
      </c>
      <c r="B705" t="s">
        <v>41</v>
      </c>
      <c r="C705" t="s">
        <v>39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 31-54</v>
      </c>
      <c r="N705" t="s">
        <v>20</v>
      </c>
    </row>
    <row r="706" spans="1:14">
      <c r="A706">
        <v>29132</v>
      </c>
      <c r="B706" t="s">
        <v>41</v>
      </c>
      <c r="C706" t="s">
        <v>39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 31-54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42</v>
      </c>
      <c r="K707" t="s">
        <v>35</v>
      </c>
      <c r="L707">
        <v>59</v>
      </c>
      <c r="M707" t="str">
        <f t="shared" ref="M707:M770" si="11">IF(L707&gt;55,"old 55+",IF(L707&gt;=31,"middle age 31-54",IF(L707&lt;31,"Aolsecent","invalid")))</f>
        <v>old 55+</v>
      </c>
      <c r="N707" t="s">
        <v>20</v>
      </c>
    </row>
    <row r="708" spans="1:14">
      <c r="A708">
        <v>20296</v>
      </c>
      <c r="B708" t="s">
        <v>41</v>
      </c>
      <c r="C708" t="s">
        <v>39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 31-54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 31-54</v>
      </c>
      <c r="N709" t="s">
        <v>17</v>
      </c>
    </row>
    <row r="710" spans="1:14">
      <c r="A710">
        <v>18069</v>
      </c>
      <c r="B710" t="s">
        <v>38</v>
      </c>
      <c r="C710" t="s">
        <v>40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42</v>
      </c>
      <c r="K710" t="s">
        <v>35</v>
      </c>
      <c r="L710">
        <v>60</v>
      </c>
      <c r="M710" t="str">
        <f t="shared" si="11"/>
        <v>old 55+</v>
      </c>
      <c r="N710" t="s">
        <v>20</v>
      </c>
    </row>
    <row r="711" spans="1:14">
      <c r="A711">
        <v>23712</v>
      </c>
      <c r="B711" t="s">
        <v>41</v>
      </c>
      <c r="C711" t="s">
        <v>39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42</v>
      </c>
      <c r="K711" t="s">
        <v>35</v>
      </c>
      <c r="L711">
        <v>59</v>
      </c>
      <c r="M711" t="str">
        <f t="shared" si="11"/>
        <v>old 55+</v>
      </c>
      <c r="N711" t="s">
        <v>20</v>
      </c>
    </row>
    <row r="712" spans="1:14">
      <c r="A712">
        <v>23358</v>
      </c>
      <c r="B712" t="s">
        <v>38</v>
      </c>
      <c r="C712" t="s">
        <v>40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 31-54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42</v>
      </c>
      <c r="K713" t="s">
        <v>35</v>
      </c>
      <c r="L713">
        <v>58</v>
      </c>
      <c r="M713" t="str">
        <f t="shared" si="11"/>
        <v>old 55+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 55+</v>
      </c>
      <c r="N714" t="s">
        <v>20</v>
      </c>
    </row>
    <row r="715" spans="1:14">
      <c r="A715">
        <v>11669</v>
      </c>
      <c r="B715" t="s">
        <v>41</v>
      </c>
      <c r="C715" t="s">
        <v>39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 31-54</v>
      </c>
      <c r="N715" t="s">
        <v>20</v>
      </c>
    </row>
    <row r="716" spans="1:14">
      <c r="A716">
        <v>16020</v>
      </c>
      <c r="B716" t="s">
        <v>38</v>
      </c>
      <c r="C716" t="s">
        <v>40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Aolsecent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 31-54</v>
      </c>
      <c r="N717" t="s">
        <v>17</v>
      </c>
    </row>
    <row r="718" spans="1:14">
      <c r="A718">
        <v>27198</v>
      </c>
      <c r="B718" t="s">
        <v>41</v>
      </c>
      <c r="C718" t="s">
        <v>39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 31-54</v>
      </c>
      <c r="N718" t="s">
        <v>20</v>
      </c>
    </row>
    <row r="719" spans="1:14">
      <c r="A719">
        <v>19661</v>
      </c>
      <c r="B719" t="s">
        <v>41</v>
      </c>
      <c r="C719" t="s">
        <v>40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 31-54</v>
      </c>
      <c r="N719" t="s">
        <v>17</v>
      </c>
    </row>
    <row r="720" spans="1:14">
      <c r="A720">
        <v>26327</v>
      </c>
      <c r="B720" t="s">
        <v>38</v>
      </c>
      <c r="C720" t="s">
        <v>40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 31-54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 31-54</v>
      </c>
      <c r="N721" t="s">
        <v>20</v>
      </c>
    </row>
    <row r="722" spans="1:14">
      <c r="A722">
        <v>24958</v>
      </c>
      <c r="B722" t="s">
        <v>41</v>
      </c>
      <c r="C722" t="s">
        <v>39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 55+</v>
      </c>
      <c r="N722" t="s">
        <v>17</v>
      </c>
    </row>
    <row r="723" spans="1:14">
      <c r="A723">
        <v>13287</v>
      </c>
      <c r="B723" t="s">
        <v>41</v>
      </c>
      <c r="C723" t="s">
        <v>40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 31-54</v>
      </c>
      <c r="N723" t="s">
        <v>17</v>
      </c>
    </row>
    <row r="724" spans="1:14">
      <c r="A724">
        <v>14493</v>
      </c>
      <c r="B724" t="s">
        <v>41</v>
      </c>
      <c r="C724" t="s">
        <v>39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 31-54</v>
      </c>
      <c r="N724" t="s">
        <v>20</v>
      </c>
    </row>
    <row r="725" spans="1:14">
      <c r="A725">
        <v>26678</v>
      </c>
      <c r="B725" t="s">
        <v>41</v>
      </c>
      <c r="C725" t="s">
        <v>39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 31-54</v>
      </c>
      <c r="N725" t="s">
        <v>20</v>
      </c>
    </row>
    <row r="726" spans="1:14">
      <c r="A726">
        <v>23275</v>
      </c>
      <c r="B726" t="s">
        <v>38</v>
      </c>
      <c r="C726" t="s">
        <v>40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 31-54</v>
      </c>
      <c r="N726" t="s">
        <v>20</v>
      </c>
    </row>
    <row r="727" spans="1:14">
      <c r="A727">
        <v>11270</v>
      </c>
      <c r="B727" t="s">
        <v>38</v>
      </c>
      <c r="C727" t="s">
        <v>40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 31-54</v>
      </c>
      <c r="N727" t="s">
        <v>17</v>
      </c>
    </row>
    <row r="728" spans="1:14">
      <c r="A728">
        <v>20084</v>
      </c>
      <c r="B728" t="s">
        <v>38</v>
      </c>
      <c r="C728" t="s">
        <v>40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 31-54</v>
      </c>
      <c r="N728" t="s">
        <v>20</v>
      </c>
    </row>
    <row r="729" spans="1:14">
      <c r="A729">
        <v>16144</v>
      </c>
      <c r="B729" t="s">
        <v>38</v>
      </c>
      <c r="C729" t="s">
        <v>40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 31-54</v>
      </c>
      <c r="N729" t="s">
        <v>17</v>
      </c>
    </row>
    <row r="730" spans="1:14">
      <c r="A730">
        <v>27731</v>
      </c>
      <c r="B730" t="s">
        <v>38</v>
      </c>
      <c r="C730" t="s">
        <v>40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Aolsecent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 31-54</v>
      </c>
      <c r="N731" t="s">
        <v>17</v>
      </c>
    </row>
    <row r="732" spans="1:14">
      <c r="A732">
        <v>24324</v>
      </c>
      <c r="B732" t="s">
        <v>41</v>
      </c>
      <c r="C732" t="s">
        <v>39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 31-54</v>
      </c>
      <c r="N732" t="s">
        <v>17</v>
      </c>
    </row>
    <row r="733" spans="1:14">
      <c r="A733">
        <v>22220</v>
      </c>
      <c r="B733" t="s">
        <v>38</v>
      </c>
      <c r="C733" t="s">
        <v>40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 31-54</v>
      </c>
      <c r="N733" t="s">
        <v>17</v>
      </c>
    </row>
    <row r="734" spans="1:14">
      <c r="A734">
        <v>26625</v>
      </c>
      <c r="B734" t="s">
        <v>41</v>
      </c>
      <c r="C734" t="s">
        <v>39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 31-54</v>
      </c>
      <c r="N734" t="s">
        <v>17</v>
      </c>
    </row>
    <row r="735" spans="1:14">
      <c r="A735">
        <v>23027</v>
      </c>
      <c r="B735" t="s">
        <v>41</v>
      </c>
      <c r="C735" t="s">
        <v>40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 31-54</v>
      </c>
      <c r="N735" t="s">
        <v>20</v>
      </c>
    </row>
    <row r="736" spans="1:14">
      <c r="A736">
        <v>16867</v>
      </c>
      <c r="B736" t="s">
        <v>41</v>
      </c>
      <c r="C736" t="s">
        <v>39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 31-54</v>
      </c>
      <c r="N736" t="s">
        <v>17</v>
      </c>
    </row>
    <row r="737" spans="1:14">
      <c r="A737">
        <v>14514</v>
      </c>
      <c r="B737" t="s">
        <v>41</v>
      </c>
      <c r="C737" t="s">
        <v>39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Aolsecent</v>
      </c>
      <c r="N737" t="s">
        <v>20</v>
      </c>
    </row>
    <row r="738" spans="1:14">
      <c r="A738">
        <v>19634</v>
      </c>
      <c r="B738" t="s">
        <v>38</v>
      </c>
      <c r="C738" t="s">
        <v>40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 31-54</v>
      </c>
      <c r="N738" t="s">
        <v>20</v>
      </c>
    </row>
    <row r="739" spans="1:14">
      <c r="A739">
        <v>18504</v>
      </c>
      <c r="B739" t="s">
        <v>38</v>
      </c>
      <c r="C739" t="s">
        <v>40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 31-54</v>
      </c>
      <c r="N739" t="s">
        <v>20</v>
      </c>
    </row>
    <row r="740" spans="1:14">
      <c r="A740">
        <v>28799</v>
      </c>
      <c r="B740" t="s">
        <v>41</v>
      </c>
      <c r="C740" t="s">
        <v>39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 31-54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42</v>
      </c>
      <c r="K741" t="s">
        <v>35</v>
      </c>
      <c r="L741">
        <v>55</v>
      </c>
      <c r="M741" t="str">
        <f t="shared" si="11"/>
        <v>middle age 31-54</v>
      </c>
      <c r="N741" t="s">
        <v>20</v>
      </c>
    </row>
    <row r="742" spans="1:14">
      <c r="A742">
        <v>17657</v>
      </c>
      <c r="B742" t="s">
        <v>38</v>
      </c>
      <c r="C742" t="s">
        <v>40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Aolsecent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 31-54</v>
      </c>
      <c r="N743" t="s">
        <v>17</v>
      </c>
    </row>
    <row r="744" spans="1:14">
      <c r="A744">
        <v>14077</v>
      </c>
      <c r="B744" t="s">
        <v>41</v>
      </c>
      <c r="C744" t="s">
        <v>40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Aolsecent</v>
      </c>
      <c r="N744" t="s">
        <v>20</v>
      </c>
    </row>
    <row r="745" spans="1:14">
      <c r="A745">
        <v>13296</v>
      </c>
      <c r="B745" t="s">
        <v>38</v>
      </c>
      <c r="C745" t="s">
        <v>40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 31-54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42</v>
      </c>
      <c r="K746" t="s">
        <v>35</v>
      </c>
      <c r="L746">
        <v>56</v>
      </c>
      <c r="M746" t="str">
        <f t="shared" si="11"/>
        <v>old 55+</v>
      </c>
      <c r="N746" t="s">
        <v>20</v>
      </c>
    </row>
    <row r="747" spans="1:14">
      <c r="A747">
        <v>12452</v>
      </c>
      <c r="B747" t="s">
        <v>38</v>
      </c>
      <c r="C747" t="s">
        <v>40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 31-54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42</v>
      </c>
      <c r="K748" t="s">
        <v>35</v>
      </c>
      <c r="L748">
        <v>56</v>
      </c>
      <c r="M748" t="str">
        <f t="shared" si="11"/>
        <v>old 55+</v>
      </c>
      <c r="N748" t="s">
        <v>20</v>
      </c>
    </row>
    <row r="749" spans="1:14">
      <c r="A749">
        <v>12957</v>
      </c>
      <c r="B749" t="s">
        <v>41</v>
      </c>
      <c r="C749" t="s">
        <v>39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 31-54</v>
      </c>
      <c r="N749" t="s">
        <v>20</v>
      </c>
    </row>
    <row r="750" spans="1:14">
      <c r="A750">
        <v>15412</v>
      </c>
      <c r="B750" t="s">
        <v>38</v>
      </c>
      <c r="C750" t="s">
        <v>40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 55+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 55+</v>
      </c>
      <c r="N751" t="s">
        <v>20</v>
      </c>
    </row>
    <row r="752" spans="1:14">
      <c r="A752">
        <v>20758</v>
      </c>
      <c r="B752" t="s">
        <v>38</v>
      </c>
      <c r="C752" t="s">
        <v>40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 31-54</v>
      </c>
      <c r="N752" t="s">
        <v>20</v>
      </c>
    </row>
    <row r="753" spans="1:14">
      <c r="A753">
        <v>11801</v>
      </c>
      <c r="B753" t="s">
        <v>38</v>
      </c>
      <c r="C753" t="s">
        <v>40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 31-54</v>
      </c>
      <c r="N753" t="s">
        <v>20</v>
      </c>
    </row>
    <row r="754" spans="1:14">
      <c r="A754">
        <v>22211</v>
      </c>
      <c r="B754" t="s">
        <v>38</v>
      </c>
      <c r="C754" t="s">
        <v>40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 31-54</v>
      </c>
      <c r="N754" t="s">
        <v>20</v>
      </c>
    </row>
    <row r="755" spans="1:14">
      <c r="A755">
        <v>28087</v>
      </c>
      <c r="B755" t="s">
        <v>41</v>
      </c>
      <c r="C755" t="s">
        <v>39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Aolsecent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 55+</v>
      </c>
      <c r="N756" t="s">
        <v>17</v>
      </c>
    </row>
    <row r="757" spans="1:14">
      <c r="A757">
        <v>27441</v>
      </c>
      <c r="B757" t="s">
        <v>38</v>
      </c>
      <c r="C757" t="s">
        <v>40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 31-54</v>
      </c>
      <c r="N757" t="s">
        <v>20</v>
      </c>
    </row>
    <row r="758" spans="1:14">
      <c r="A758">
        <v>27261</v>
      </c>
      <c r="B758" t="s">
        <v>38</v>
      </c>
      <c r="C758" t="s">
        <v>40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 31-54</v>
      </c>
      <c r="N758" t="s">
        <v>17</v>
      </c>
    </row>
    <row r="759" spans="1:14">
      <c r="A759">
        <v>18649</v>
      </c>
      <c r="B759" t="s">
        <v>41</v>
      </c>
      <c r="C759" t="s">
        <v>40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 31-54</v>
      </c>
      <c r="N759" t="s">
        <v>17</v>
      </c>
    </row>
    <row r="760" spans="1:14">
      <c r="A760">
        <v>21714</v>
      </c>
      <c r="B760" t="s">
        <v>41</v>
      </c>
      <c r="C760" t="s">
        <v>39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 31-54</v>
      </c>
      <c r="N760" t="s">
        <v>20</v>
      </c>
    </row>
    <row r="761" spans="1:14">
      <c r="A761">
        <v>23217</v>
      </c>
      <c r="B761" t="s">
        <v>41</v>
      </c>
      <c r="C761" t="s">
        <v>39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 31-54</v>
      </c>
      <c r="N761" t="s">
        <v>17</v>
      </c>
    </row>
    <row r="762" spans="1:14">
      <c r="A762">
        <v>23797</v>
      </c>
      <c r="B762" t="s">
        <v>41</v>
      </c>
      <c r="C762" t="s">
        <v>40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 31-54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42</v>
      </c>
      <c r="K763" t="s">
        <v>35</v>
      </c>
      <c r="L763">
        <v>59</v>
      </c>
      <c r="M763" t="str">
        <f t="shared" si="11"/>
        <v>old 55+</v>
      </c>
      <c r="N763" t="s">
        <v>20</v>
      </c>
    </row>
    <row r="764" spans="1:14">
      <c r="A764">
        <v>20657</v>
      </c>
      <c r="B764" t="s">
        <v>41</v>
      </c>
      <c r="C764" t="s">
        <v>40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 31-54</v>
      </c>
      <c r="N764" t="s">
        <v>17</v>
      </c>
    </row>
    <row r="765" spans="1:14">
      <c r="A765">
        <v>12882</v>
      </c>
      <c r="B765" t="s">
        <v>38</v>
      </c>
      <c r="C765" t="s">
        <v>40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 31-54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Aolsecent</v>
      </c>
      <c r="N766" t="s">
        <v>20</v>
      </c>
    </row>
    <row r="767" spans="1:14">
      <c r="A767">
        <v>16753</v>
      </c>
      <c r="B767" t="s">
        <v>41</v>
      </c>
      <c r="C767" t="s">
        <v>39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 31-54</v>
      </c>
      <c r="N767" t="s">
        <v>17</v>
      </c>
    </row>
    <row r="768" spans="1:14">
      <c r="A768">
        <v>14608</v>
      </c>
      <c r="B768" t="s">
        <v>38</v>
      </c>
      <c r="C768" t="s">
        <v>40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42</v>
      </c>
      <c r="K768" t="s">
        <v>35</v>
      </c>
      <c r="L768">
        <v>42</v>
      </c>
      <c r="M768" t="str">
        <f t="shared" si="11"/>
        <v>middle age 31-54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 55+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 31-54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IF(L771&gt;55,"old 55+",IF(L771&gt;=31,"middle age 31-54",IF(L771&lt;31,"Aolsecent","invalid")))</f>
        <v>middle age 31-54</v>
      </c>
      <c r="N771" t="s">
        <v>20</v>
      </c>
    </row>
    <row r="772" spans="1:14">
      <c r="A772">
        <v>17699</v>
      </c>
      <c r="B772" t="s">
        <v>38</v>
      </c>
      <c r="C772" t="s">
        <v>40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 31-54</v>
      </c>
      <c r="N772" t="s">
        <v>20</v>
      </c>
    </row>
    <row r="773" spans="1:14">
      <c r="A773">
        <v>14657</v>
      </c>
      <c r="B773" t="s">
        <v>38</v>
      </c>
      <c r="C773" t="s">
        <v>40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 31-54</v>
      </c>
      <c r="N773" t="s">
        <v>17</v>
      </c>
    </row>
    <row r="774" spans="1:14">
      <c r="A774">
        <v>11540</v>
      </c>
      <c r="B774" t="s">
        <v>41</v>
      </c>
      <c r="C774" t="s">
        <v>40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 31-54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 31-54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 31-54</v>
      </c>
      <c r="N776" t="s">
        <v>17</v>
      </c>
    </row>
    <row r="777" spans="1:14">
      <c r="A777">
        <v>29030</v>
      </c>
      <c r="B777" t="s">
        <v>38</v>
      </c>
      <c r="C777" t="s">
        <v>40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42</v>
      </c>
      <c r="K777" t="s">
        <v>35</v>
      </c>
      <c r="L777">
        <v>54</v>
      </c>
      <c r="M777" t="str">
        <f t="shared" si="12"/>
        <v>middle age 31-54</v>
      </c>
      <c r="N777" t="s">
        <v>20</v>
      </c>
    </row>
    <row r="778" spans="1:14">
      <c r="A778">
        <v>26490</v>
      </c>
      <c r="B778" t="s">
        <v>41</v>
      </c>
      <c r="C778" t="s">
        <v>40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 55+</v>
      </c>
      <c r="N778" t="s">
        <v>17</v>
      </c>
    </row>
    <row r="779" spans="1:14">
      <c r="A779">
        <v>13151</v>
      </c>
      <c r="B779" t="s">
        <v>41</v>
      </c>
      <c r="C779" t="s">
        <v>40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Aolsecent</v>
      </c>
      <c r="N779" t="s">
        <v>20</v>
      </c>
    </row>
    <row r="780" spans="1:14">
      <c r="A780">
        <v>17260</v>
      </c>
      <c r="B780" t="s">
        <v>38</v>
      </c>
      <c r="C780" t="s">
        <v>40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 31-54</v>
      </c>
      <c r="N780" t="s">
        <v>20</v>
      </c>
    </row>
    <row r="781" spans="1:14">
      <c r="A781">
        <v>15372</v>
      </c>
      <c r="B781" t="s">
        <v>38</v>
      </c>
      <c r="C781" t="s">
        <v>40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 31-54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42</v>
      </c>
      <c r="K782" t="s">
        <v>35</v>
      </c>
      <c r="L782">
        <v>55</v>
      </c>
      <c r="M782" t="str">
        <f t="shared" si="12"/>
        <v>middle age 31-54</v>
      </c>
      <c r="N782" t="s">
        <v>20</v>
      </c>
    </row>
    <row r="783" spans="1:14">
      <c r="A783">
        <v>19660</v>
      </c>
      <c r="B783" t="s">
        <v>38</v>
      </c>
      <c r="C783" t="s">
        <v>40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 31-54</v>
      </c>
      <c r="N783" t="s">
        <v>20</v>
      </c>
    </row>
    <row r="784" spans="1:14">
      <c r="A784">
        <v>16112</v>
      </c>
      <c r="B784" t="s">
        <v>41</v>
      </c>
      <c r="C784" t="s">
        <v>40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 31-54</v>
      </c>
      <c r="N784" t="s">
        <v>17</v>
      </c>
    </row>
    <row r="785" spans="1:14">
      <c r="A785">
        <v>20698</v>
      </c>
      <c r="B785" t="s">
        <v>38</v>
      </c>
      <c r="C785" t="s">
        <v>40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 31-54</v>
      </c>
      <c r="N785" t="s">
        <v>20</v>
      </c>
    </row>
    <row r="786" spans="1:14">
      <c r="A786">
        <v>20076</v>
      </c>
      <c r="B786" t="s">
        <v>41</v>
      </c>
      <c r="C786" t="s">
        <v>39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 31-54</v>
      </c>
      <c r="N786" t="s">
        <v>17</v>
      </c>
    </row>
    <row r="787" spans="1:14">
      <c r="A787">
        <v>24496</v>
      </c>
      <c r="B787" t="s">
        <v>41</v>
      </c>
      <c r="C787" t="s">
        <v>39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Aolsecent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 31-54</v>
      </c>
      <c r="N788" t="s">
        <v>20</v>
      </c>
    </row>
    <row r="789" spans="1:14">
      <c r="A789">
        <v>28031</v>
      </c>
      <c r="B789" t="s">
        <v>41</v>
      </c>
      <c r="C789" t="s">
        <v>39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 55+</v>
      </c>
      <c r="N789" t="s">
        <v>17</v>
      </c>
    </row>
    <row r="790" spans="1:14">
      <c r="A790">
        <v>26270</v>
      </c>
      <c r="B790" t="s">
        <v>41</v>
      </c>
      <c r="C790" t="s">
        <v>39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 31-54</v>
      </c>
      <c r="N790" t="s">
        <v>20</v>
      </c>
    </row>
    <row r="791" spans="1:14">
      <c r="A791">
        <v>22221</v>
      </c>
      <c r="B791" t="s">
        <v>38</v>
      </c>
      <c r="C791" t="s">
        <v>40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 31-54</v>
      </c>
      <c r="N791" t="s">
        <v>17</v>
      </c>
    </row>
    <row r="792" spans="1:14">
      <c r="A792">
        <v>28228</v>
      </c>
      <c r="B792" t="s">
        <v>41</v>
      </c>
      <c r="C792" t="s">
        <v>39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 31-54</v>
      </c>
      <c r="N792" t="s">
        <v>20</v>
      </c>
    </row>
    <row r="793" spans="1:14">
      <c r="A793">
        <v>18363</v>
      </c>
      <c r="B793" t="s">
        <v>38</v>
      </c>
      <c r="C793" t="s">
        <v>40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Aolsecent</v>
      </c>
      <c r="N793" t="s">
        <v>17</v>
      </c>
    </row>
    <row r="794" spans="1:14">
      <c r="A794">
        <v>23256</v>
      </c>
      <c r="B794" t="s">
        <v>41</v>
      </c>
      <c r="C794" t="s">
        <v>40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 31-54</v>
      </c>
      <c r="N794" t="s">
        <v>20</v>
      </c>
    </row>
    <row r="795" spans="1:14">
      <c r="A795">
        <v>12768</v>
      </c>
      <c r="B795" t="s">
        <v>38</v>
      </c>
      <c r="C795" t="s">
        <v>40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 31-54</v>
      </c>
      <c r="N795" t="s">
        <v>17</v>
      </c>
    </row>
    <row r="796" spans="1:14">
      <c r="A796">
        <v>20361</v>
      </c>
      <c r="B796" t="s">
        <v>38</v>
      </c>
      <c r="C796" t="s">
        <v>40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 55+</v>
      </c>
      <c r="N796" t="s">
        <v>20</v>
      </c>
    </row>
    <row r="797" spans="1:14">
      <c r="A797">
        <v>21306</v>
      </c>
      <c r="B797" t="s">
        <v>41</v>
      </c>
      <c r="C797" t="s">
        <v>40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 31-54</v>
      </c>
      <c r="N797" t="s">
        <v>20</v>
      </c>
    </row>
    <row r="798" spans="1:14">
      <c r="A798">
        <v>13382</v>
      </c>
      <c r="B798" t="s">
        <v>38</v>
      </c>
      <c r="C798" t="s">
        <v>40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 55+</v>
      </c>
      <c r="N798" t="s">
        <v>17</v>
      </c>
    </row>
    <row r="799" spans="1:14">
      <c r="A799">
        <v>20310</v>
      </c>
      <c r="B799" t="s">
        <v>41</v>
      </c>
      <c r="C799" t="s">
        <v>40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Aolsecent</v>
      </c>
      <c r="N799" t="s">
        <v>17</v>
      </c>
    </row>
    <row r="800" spans="1:14">
      <c r="A800">
        <v>22971</v>
      </c>
      <c r="B800" t="s">
        <v>41</v>
      </c>
      <c r="C800" t="s">
        <v>39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Aolsecent</v>
      </c>
      <c r="N800" t="s">
        <v>17</v>
      </c>
    </row>
    <row r="801" spans="1:14">
      <c r="A801">
        <v>15287</v>
      </c>
      <c r="B801" t="s">
        <v>41</v>
      </c>
      <c r="C801" t="s">
        <v>39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 31-54</v>
      </c>
      <c r="N801" t="s">
        <v>17</v>
      </c>
    </row>
    <row r="802" spans="1:14">
      <c r="A802">
        <v>15532</v>
      </c>
      <c r="B802" t="s">
        <v>41</v>
      </c>
      <c r="C802" t="s">
        <v>40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 31-54</v>
      </c>
      <c r="N802" t="s">
        <v>17</v>
      </c>
    </row>
    <row r="803" spans="1:14">
      <c r="A803">
        <v>11255</v>
      </c>
      <c r="B803" t="s">
        <v>38</v>
      </c>
      <c r="C803" t="s">
        <v>40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 55+</v>
      </c>
      <c r="N803" t="s">
        <v>20</v>
      </c>
    </row>
    <row r="804" spans="1:14">
      <c r="A804">
        <v>28090</v>
      </c>
      <c r="B804" t="s">
        <v>38</v>
      </c>
      <c r="C804" t="s">
        <v>40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Aolsecent</v>
      </c>
      <c r="N804" t="s">
        <v>20</v>
      </c>
    </row>
    <row r="805" spans="1:14">
      <c r="A805">
        <v>15255</v>
      </c>
      <c r="B805" t="s">
        <v>38</v>
      </c>
      <c r="C805" t="s">
        <v>40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Aolsecent</v>
      </c>
      <c r="N805" t="s">
        <v>17</v>
      </c>
    </row>
    <row r="806" spans="1:14">
      <c r="A806">
        <v>13154</v>
      </c>
      <c r="B806" t="s">
        <v>38</v>
      </c>
      <c r="C806" t="s">
        <v>40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Aolsecent</v>
      </c>
      <c r="N806" t="s">
        <v>17</v>
      </c>
    </row>
    <row r="807" spans="1:14">
      <c r="A807">
        <v>26778</v>
      </c>
      <c r="B807" t="s">
        <v>41</v>
      </c>
      <c r="C807" t="s">
        <v>39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 31-54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 31-54</v>
      </c>
      <c r="N808" t="s">
        <v>20</v>
      </c>
    </row>
    <row r="809" spans="1:14">
      <c r="A809">
        <v>21417</v>
      </c>
      <c r="B809" t="s">
        <v>41</v>
      </c>
      <c r="C809" t="s">
        <v>39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 31-54</v>
      </c>
      <c r="N809" t="s">
        <v>17</v>
      </c>
    </row>
    <row r="810" spans="1:14">
      <c r="A810">
        <v>17668</v>
      </c>
      <c r="B810" t="s">
        <v>41</v>
      </c>
      <c r="C810" t="s">
        <v>40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 31-54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 55+</v>
      </c>
      <c r="N811" t="s">
        <v>20</v>
      </c>
    </row>
    <row r="812" spans="1:14">
      <c r="A812">
        <v>20376</v>
      </c>
      <c r="B812" t="s">
        <v>41</v>
      </c>
      <c r="C812" t="s">
        <v>39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 31-54</v>
      </c>
      <c r="N812" t="s">
        <v>17</v>
      </c>
    </row>
    <row r="813" spans="1:14">
      <c r="A813">
        <v>25954</v>
      </c>
      <c r="B813" t="s">
        <v>38</v>
      </c>
      <c r="C813" t="s">
        <v>40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 31-54</v>
      </c>
      <c r="N813" t="s">
        <v>20</v>
      </c>
    </row>
    <row r="814" spans="1:14">
      <c r="A814">
        <v>15749</v>
      </c>
      <c r="B814" t="s">
        <v>41</v>
      </c>
      <c r="C814" t="s">
        <v>39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42</v>
      </c>
      <c r="K814" t="s">
        <v>35</v>
      </c>
      <c r="L814">
        <v>61</v>
      </c>
      <c r="M814" t="str">
        <f t="shared" si="12"/>
        <v>old 55+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42</v>
      </c>
      <c r="K815" t="s">
        <v>35</v>
      </c>
      <c r="L815">
        <v>53</v>
      </c>
      <c r="M815" t="str">
        <f t="shared" si="12"/>
        <v>middle age 31-54</v>
      </c>
      <c r="N815" t="s">
        <v>20</v>
      </c>
    </row>
    <row r="816" spans="1:14">
      <c r="A816">
        <v>13351</v>
      </c>
      <c r="B816" t="s">
        <v>41</v>
      </c>
      <c r="C816" t="s">
        <v>39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 55+</v>
      </c>
      <c r="N816" t="s">
        <v>17</v>
      </c>
    </row>
    <row r="817" spans="1:14">
      <c r="A817">
        <v>23333</v>
      </c>
      <c r="B817" t="s">
        <v>38</v>
      </c>
      <c r="C817" t="s">
        <v>40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Aolsecent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 31-54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 31-54</v>
      </c>
      <c r="N819" t="s">
        <v>17</v>
      </c>
    </row>
    <row r="820" spans="1:14">
      <c r="A820">
        <v>24514</v>
      </c>
      <c r="B820" t="s">
        <v>38</v>
      </c>
      <c r="C820" t="s">
        <v>40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Aolsecent</v>
      </c>
      <c r="N820" t="s">
        <v>20</v>
      </c>
    </row>
    <row r="821" spans="1:14">
      <c r="A821">
        <v>27505</v>
      </c>
      <c r="B821" t="s">
        <v>41</v>
      </c>
      <c r="C821" t="s">
        <v>39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Aolsecent</v>
      </c>
      <c r="N821" t="s">
        <v>20</v>
      </c>
    </row>
    <row r="822" spans="1:14">
      <c r="A822">
        <v>29243</v>
      </c>
      <c r="B822" t="s">
        <v>41</v>
      </c>
      <c r="C822" t="s">
        <v>40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 31-54</v>
      </c>
      <c r="N822" t="s">
        <v>20</v>
      </c>
    </row>
    <row r="823" spans="1:14">
      <c r="A823">
        <v>26582</v>
      </c>
      <c r="B823" t="s">
        <v>38</v>
      </c>
      <c r="C823" t="s">
        <v>40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 31-54</v>
      </c>
      <c r="N823" t="s">
        <v>17</v>
      </c>
    </row>
    <row r="824" spans="1:14">
      <c r="A824">
        <v>14271</v>
      </c>
      <c r="B824" t="s">
        <v>38</v>
      </c>
      <c r="C824" t="s">
        <v>40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 31-54</v>
      </c>
      <c r="N824" t="s">
        <v>20</v>
      </c>
    </row>
    <row r="825" spans="1:14">
      <c r="A825">
        <v>23041</v>
      </c>
      <c r="B825" t="s">
        <v>41</v>
      </c>
      <c r="C825" t="s">
        <v>39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 31-54</v>
      </c>
      <c r="N825" t="s">
        <v>17</v>
      </c>
    </row>
    <row r="826" spans="1:14">
      <c r="A826">
        <v>29048</v>
      </c>
      <c r="B826" t="s">
        <v>41</v>
      </c>
      <c r="C826" t="s">
        <v>40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 31-54</v>
      </c>
      <c r="N826" t="s">
        <v>17</v>
      </c>
    </row>
    <row r="827" spans="1:14">
      <c r="A827">
        <v>24433</v>
      </c>
      <c r="B827" t="s">
        <v>38</v>
      </c>
      <c r="C827" t="s">
        <v>40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 31-54</v>
      </c>
      <c r="N827" t="s">
        <v>17</v>
      </c>
    </row>
    <row r="828" spans="1:14">
      <c r="A828">
        <v>15501</v>
      </c>
      <c r="B828" t="s">
        <v>38</v>
      </c>
      <c r="C828" t="s">
        <v>40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 31-54</v>
      </c>
      <c r="N828" t="s">
        <v>17</v>
      </c>
    </row>
    <row r="829" spans="1:14">
      <c r="A829">
        <v>13911</v>
      </c>
      <c r="B829" t="s">
        <v>41</v>
      </c>
      <c r="C829" t="s">
        <v>39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 31-54</v>
      </c>
      <c r="N829" t="s">
        <v>17</v>
      </c>
    </row>
    <row r="830" spans="1:14">
      <c r="A830">
        <v>20421</v>
      </c>
      <c r="B830" t="s">
        <v>41</v>
      </c>
      <c r="C830" t="s">
        <v>39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Aolsecent</v>
      </c>
      <c r="N830" t="s">
        <v>20</v>
      </c>
    </row>
    <row r="831" spans="1:14">
      <c r="A831">
        <v>16009</v>
      </c>
      <c r="B831" t="s">
        <v>41</v>
      </c>
      <c r="C831" t="s">
        <v>40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 55+</v>
      </c>
      <c r="N831" t="s">
        <v>20</v>
      </c>
    </row>
    <row r="832" spans="1:14">
      <c r="A832">
        <v>18411</v>
      </c>
      <c r="B832" t="s">
        <v>38</v>
      </c>
      <c r="C832" t="s">
        <v>40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 31-54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 31-54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 31-54</v>
      </c>
      <c r="N834" t="s">
        <v>20</v>
      </c>
    </row>
    <row r="835" spans="1:14">
      <c r="A835">
        <v>27540</v>
      </c>
      <c r="B835" t="s">
        <v>41</v>
      </c>
      <c r="C835" t="s">
        <v>39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IF(L835&gt;55,"old 55+",IF(L835&gt;=31,"middle age 31-54",IF(L835&lt;31,"Aolsecent","invalid")))</f>
        <v>middle age 31-54</v>
      </c>
      <c r="N835" t="s">
        <v>17</v>
      </c>
    </row>
    <row r="836" spans="1:14">
      <c r="A836">
        <v>19889</v>
      </c>
      <c r="B836" t="s">
        <v>41</v>
      </c>
      <c r="C836" t="s">
        <v>39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 31-54</v>
      </c>
      <c r="N836" t="s">
        <v>17</v>
      </c>
    </row>
    <row r="837" spans="1:14">
      <c r="A837">
        <v>12922</v>
      </c>
      <c r="B837" t="s">
        <v>41</v>
      </c>
      <c r="C837" t="s">
        <v>39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 31-54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Aolsecent</v>
      </c>
      <c r="N838" t="s">
        <v>20</v>
      </c>
    </row>
    <row r="839" spans="1:14">
      <c r="A839">
        <v>16773</v>
      </c>
      <c r="B839" t="s">
        <v>38</v>
      </c>
      <c r="C839" t="s">
        <v>40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 31-54</v>
      </c>
      <c r="N839" t="s">
        <v>20</v>
      </c>
    </row>
    <row r="840" spans="1:14">
      <c r="A840">
        <v>19143</v>
      </c>
      <c r="B840" t="s">
        <v>41</v>
      </c>
      <c r="C840" t="s">
        <v>39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 31-54</v>
      </c>
      <c r="N840" t="s">
        <v>17</v>
      </c>
    </row>
    <row r="841" spans="1:14">
      <c r="A841">
        <v>23882</v>
      </c>
      <c r="B841" t="s">
        <v>41</v>
      </c>
      <c r="C841" t="s">
        <v>39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 31-54</v>
      </c>
      <c r="N841" t="s">
        <v>17</v>
      </c>
    </row>
    <row r="842" spans="1:14">
      <c r="A842">
        <v>11233</v>
      </c>
      <c r="B842" t="s">
        <v>38</v>
      </c>
      <c r="C842" t="s">
        <v>40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42</v>
      </c>
      <c r="K842" t="s">
        <v>35</v>
      </c>
      <c r="L842">
        <v>53</v>
      </c>
      <c r="M842" t="str">
        <f t="shared" si="13"/>
        <v>middle age 31-54</v>
      </c>
      <c r="N842" t="s">
        <v>20</v>
      </c>
    </row>
    <row r="843" spans="1:14">
      <c r="A843">
        <v>12056</v>
      </c>
      <c r="B843" t="s">
        <v>38</v>
      </c>
      <c r="C843" t="s">
        <v>40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 55+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 31-54</v>
      </c>
      <c r="N844" t="s">
        <v>17</v>
      </c>
    </row>
    <row r="845" spans="1:14">
      <c r="A845">
        <v>18423</v>
      </c>
      <c r="B845" t="s">
        <v>41</v>
      </c>
      <c r="C845" t="s">
        <v>40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 31-54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42</v>
      </c>
      <c r="K846" t="s">
        <v>35</v>
      </c>
      <c r="L846">
        <v>60</v>
      </c>
      <c r="M846" t="str">
        <f t="shared" si="13"/>
        <v>old 55+</v>
      </c>
      <c r="N846" t="s">
        <v>20</v>
      </c>
    </row>
    <row r="847" spans="1:14">
      <c r="A847">
        <v>25343</v>
      </c>
      <c r="B847" t="s">
        <v>41</v>
      </c>
      <c r="C847" t="s">
        <v>39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 31-54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 55+</v>
      </c>
      <c r="N848" t="s">
        <v>20</v>
      </c>
    </row>
    <row r="849" spans="1:14">
      <c r="A849">
        <v>17482</v>
      </c>
      <c r="B849" t="s">
        <v>41</v>
      </c>
      <c r="C849" t="s">
        <v>39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Aolsecent</v>
      </c>
      <c r="N849" t="s">
        <v>20</v>
      </c>
    </row>
    <row r="850" spans="1:14">
      <c r="A850">
        <v>13176</v>
      </c>
      <c r="B850" t="s">
        <v>41</v>
      </c>
      <c r="C850" t="s">
        <v>40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 31-54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 55+</v>
      </c>
      <c r="N851" t="s">
        <v>20</v>
      </c>
    </row>
    <row r="852" spans="1:14">
      <c r="A852">
        <v>12205</v>
      </c>
      <c r="B852" t="s">
        <v>41</v>
      </c>
      <c r="C852" t="s">
        <v>39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 55+</v>
      </c>
      <c r="N852" t="s">
        <v>20</v>
      </c>
    </row>
    <row r="853" spans="1:14">
      <c r="A853">
        <v>16751</v>
      </c>
      <c r="B853" t="s">
        <v>38</v>
      </c>
      <c r="C853" t="s">
        <v>40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 31-54</v>
      </c>
      <c r="N853" t="s">
        <v>17</v>
      </c>
    </row>
    <row r="854" spans="1:14">
      <c r="A854">
        <v>21613</v>
      </c>
      <c r="B854" t="s">
        <v>41</v>
      </c>
      <c r="C854" t="s">
        <v>40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 31-54</v>
      </c>
      <c r="N854" t="s">
        <v>17</v>
      </c>
    </row>
    <row r="855" spans="1:14">
      <c r="A855">
        <v>24801</v>
      </c>
      <c r="B855" t="s">
        <v>41</v>
      </c>
      <c r="C855" t="s">
        <v>40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 31-54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 31-54</v>
      </c>
      <c r="N856" t="s">
        <v>20</v>
      </c>
    </row>
    <row r="857" spans="1:14">
      <c r="A857">
        <v>18347</v>
      </c>
      <c r="B857" t="s">
        <v>41</v>
      </c>
      <c r="C857" t="s">
        <v>39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 31-54</v>
      </c>
      <c r="N857" t="s">
        <v>20</v>
      </c>
    </row>
    <row r="858" spans="1:14">
      <c r="A858">
        <v>29052</v>
      </c>
      <c r="B858" t="s">
        <v>41</v>
      </c>
      <c r="C858" t="s">
        <v>40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Aolsecent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 31-54</v>
      </c>
      <c r="N859" t="s">
        <v>17</v>
      </c>
    </row>
    <row r="860" spans="1:14">
      <c r="A860">
        <v>19147</v>
      </c>
      <c r="B860" t="s">
        <v>38</v>
      </c>
      <c r="C860" t="s">
        <v>40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 31-54</v>
      </c>
      <c r="N860" t="s">
        <v>20</v>
      </c>
    </row>
    <row r="861" spans="1:14">
      <c r="A861">
        <v>19217</v>
      </c>
      <c r="B861" t="s">
        <v>38</v>
      </c>
      <c r="C861" t="s">
        <v>40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 31-54</v>
      </c>
      <c r="N861" t="s">
        <v>20</v>
      </c>
    </row>
    <row r="862" spans="1:14">
      <c r="A862">
        <v>15839</v>
      </c>
      <c r="B862" t="s">
        <v>41</v>
      </c>
      <c r="C862" t="s">
        <v>40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 31-54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 31-54</v>
      </c>
      <c r="N863" t="s">
        <v>17</v>
      </c>
    </row>
    <row r="864" spans="1:14">
      <c r="A864">
        <v>22330</v>
      </c>
      <c r="B864" t="s">
        <v>38</v>
      </c>
      <c r="C864" t="s">
        <v>40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 31-54</v>
      </c>
      <c r="N864" t="s">
        <v>17</v>
      </c>
    </row>
    <row r="865" spans="1:14">
      <c r="A865">
        <v>18783</v>
      </c>
      <c r="B865" t="s">
        <v>41</v>
      </c>
      <c r="C865" t="s">
        <v>40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 31-54</v>
      </c>
      <c r="N865" t="s">
        <v>17</v>
      </c>
    </row>
    <row r="866" spans="1:14">
      <c r="A866">
        <v>25041</v>
      </c>
      <c r="B866" t="s">
        <v>41</v>
      </c>
      <c r="C866" t="s">
        <v>40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 31-54</v>
      </c>
      <c r="N866" t="s">
        <v>20</v>
      </c>
    </row>
    <row r="867" spans="1:14">
      <c r="A867">
        <v>22046</v>
      </c>
      <c r="B867" t="s">
        <v>41</v>
      </c>
      <c r="C867" t="s">
        <v>39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 31-54</v>
      </c>
      <c r="N867" t="s">
        <v>17</v>
      </c>
    </row>
    <row r="868" spans="1:14">
      <c r="A868">
        <v>28052</v>
      </c>
      <c r="B868" t="s">
        <v>38</v>
      </c>
      <c r="C868" t="s">
        <v>40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42</v>
      </c>
      <c r="K868" t="s">
        <v>35</v>
      </c>
      <c r="L868">
        <v>55</v>
      </c>
      <c r="M868" t="str">
        <f t="shared" si="13"/>
        <v>middle age 31-54</v>
      </c>
      <c r="N868" t="s">
        <v>20</v>
      </c>
    </row>
    <row r="869" spans="1:14">
      <c r="A869">
        <v>26693</v>
      </c>
      <c r="B869" t="s">
        <v>38</v>
      </c>
      <c r="C869" t="s">
        <v>40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 31-54</v>
      </c>
      <c r="N869" t="s">
        <v>20</v>
      </c>
    </row>
    <row r="870" spans="1:14">
      <c r="A870">
        <v>24955</v>
      </c>
      <c r="B870" t="s">
        <v>41</v>
      </c>
      <c r="C870" t="s">
        <v>40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42</v>
      </c>
      <c r="K870" t="s">
        <v>35</v>
      </c>
      <c r="L870">
        <v>60</v>
      </c>
      <c r="M870" t="str">
        <f t="shared" si="13"/>
        <v>old 55+</v>
      </c>
      <c r="N870" t="s">
        <v>17</v>
      </c>
    </row>
    <row r="871" spans="1:14">
      <c r="A871">
        <v>26065</v>
      </c>
      <c r="B871" t="s">
        <v>41</v>
      </c>
      <c r="C871" t="s">
        <v>39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 31-54</v>
      </c>
      <c r="N871" t="s">
        <v>20</v>
      </c>
    </row>
    <row r="872" spans="1:14">
      <c r="A872">
        <v>13942</v>
      </c>
      <c r="B872" t="s">
        <v>38</v>
      </c>
      <c r="C872" t="s">
        <v>40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 31-54</v>
      </c>
      <c r="N872" t="s">
        <v>20</v>
      </c>
    </row>
    <row r="873" spans="1:14">
      <c r="A873">
        <v>11219</v>
      </c>
      <c r="B873" t="s">
        <v>38</v>
      </c>
      <c r="C873" t="s">
        <v>40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42</v>
      </c>
      <c r="K873" t="s">
        <v>35</v>
      </c>
      <c r="L873">
        <v>55</v>
      </c>
      <c r="M873" t="str">
        <f t="shared" si="13"/>
        <v>middle age 31-54</v>
      </c>
      <c r="N873" t="s">
        <v>20</v>
      </c>
    </row>
    <row r="874" spans="1:14">
      <c r="A874">
        <v>22118</v>
      </c>
      <c r="B874" t="s">
        <v>41</v>
      </c>
      <c r="C874" t="s">
        <v>39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 31-54</v>
      </c>
      <c r="N874" t="s">
        <v>17</v>
      </c>
    </row>
    <row r="875" spans="1:14">
      <c r="A875">
        <v>23197</v>
      </c>
      <c r="B875" t="s">
        <v>38</v>
      </c>
      <c r="C875" t="s">
        <v>40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 31-54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 31-54</v>
      </c>
      <c r="N876" t="s">
        <v>17</v>
      </c>
    </row>
    <row r="877" spans="1:14">
      <c r="A877">
        <v>27279</v>
      </c>
      <c r="B877" t="s">
        <v>41</v>
      </c>
      <c r="C877" t="s">
        <v>39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 31-54</v>
      </c>
      <c r="N877" t="s">
        <v>17</v>
      </c>
    </row>
    <row r="878" spans="1:14">
      <c r="A878">
        <v>18322</v>
      </c>
      <c r="B878" t="s">
        <v>41</v>
      </c>
      <c r="C878" t="s">
        <v>40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Aolsecent</v>
      </c>
      <c r="N878" t="s">
        <v>20</v>
      </c>
    </row>
    <row r="879" spans="1:14">
      <c r="A879">
        <v>15879</v>
      </c>
      <c r="B879" t="s">
        <v>38</v>
      </c>
      <c r="C879" t="s">
        <v>40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 55+</v>
      </c>
      <c r="N879" t="s">
        <v>20</v>
      </c>
    </row>
    <row r="880" spans="1:14">
      <c r="A880">
        <v>28278</v>
      </c>
      <c r="B880" t="s">
        <v>38</v>
      </c>
      <c r="C880" t="s">
        <v>40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 55+</v>
      </c>
      <c r="N880" t="s">
        <v>20</v>
      </c>
    </row>
    <row r="881" spans="1:14">
      <c r="A881">
        <v>24416</v>
      </c>
      <c r="B881" t="s">
        <v>38</v>
      </c>
      <c r="C881" t="s">
        <v>40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 31-54</v>
      </c>
      <c r="N881" t="s">
        <v>20</v>
      </c>
    </row>
    <row r="882" spans="1:14">
      <c r="A882">
        <v>28066</v>
      </c>
      <c r="B882" t="s">
        <v>38</v>
      </c>
      <c r="C882" t="s">
        <v>40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 31-54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 55+</v>
      </c>
      <c r="N883" t="s">
        <v>17</v>
      </c>
    </row>
    <row r="884" spans="1:14">
      <c r="A884">
        <v>14872</v>
      </c>
      <c r="B884" t="s">
        <v>38</v>
      </c>
      <c r="C884" t="s">
        <v>40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 31-54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 31-54</v>
      </c>
      <c r="N885" t="s">
        <v>17</v>
      </c>
    </row>
    <row r="886" spans="1:14">
      <c r="A886">
        <v>19731</v>
      </c>
      <c r="B886" t="s">
        <v>38</v>
      </c>
      <c r="C886" t="s">
        <v>40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 55+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 31-54</v>
      </c>
      <c r="N887" t="s">
        <v>20</v>
      </c>
    </row>
    <row r="888" spans="1:14">
      <c r="A888">
        <v>11807</v>
      </c>
      <c r="B888" t="s">
        <v>38</v>
      </c>
      <c r="C888" t="s">
        <v>40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 31-54</v>
      </c>
      <c r="N888" t="s">
        <v>20</v>
      </c>
    </row>
    <row r="889" spans="1:14">
      <c r="A889">
        <v>11622</v>
      </c>
      <c r="B889" t="s">
        <v>38</v>
      </c>
      <c r="C889" t="s">
        <v>40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 31-54</v>
      </c>
      <c r="N889" t="s">
        <v>20</v>
      </c>
    </row>
    <row r="890" spans="1:14">
      <c r="A890">
        <v>26597</v>
      </c>
      <c r="B890" t="s">
        <v>41</v>
      </c>
      <c r="C890" t="s">
        <v>39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 31-54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 31-54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 31-54</v>
      </c>
      <c r="N892" t="s">
        <v>20</v>
      </c>
    </row>
    <row r="893" spans="1:14">
      <c r="A893">
        <v>13415</v>
      </c>
      <c r="B893" t="s">
        <v>41</v>
      </c>
      <c r="C893" t="s">
        <v>40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 55+</v>
      </c>
      <c r="N893" t="s">
        <v>17</v>
      </c>
    </row>
    <row r="894" spans="1:14">
      <c r="A894">
        <v>17000</v>
      </c>
      <c r="B894" t="s">
        <v>41</v>
      </c>
      <c r="C894" t="s">
        <v>39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 31-54</v>
      </c>
      <c r="N894" t="s">
        <v>17</v>
      </c>
    </row>
    <row r="895" spans="1:14">
      <c r="A895">
        <v>14569</v>
      </c>
      <c r="B895" t="s">
        <v>38</v>
      </c>
      <c r="C895" t="s">
        <v>40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 31-54</v>
      </c>
      <c r="N895" t="s">
        <v>20</v>
      </c>
    </row>
    <row r="896" spans="1:14">
      <c r="A896">
        <v>13873</v>
      </c>
      <c r="B896" t="s">
        <v>38</v>
      </c>
      <c r="C896" t="s">
        <v>40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 31-54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 55+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 31-54</v>
      </c>
      <c r="N898" t="s">
        <v>17</v>
      </c>
    </row>
    <row r="899" spans="1:14">
      <c r="A899">
        <v>12029</v>
      </c>
      <c r="B899" t="s">
        <v>38</v>
      </c>
      <c r="C899" t="s">
        <v>40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IF(L899&gt;55,"old 55+",IF(L899&gt;=31,"middle age 31-54",IF(L899&lt;31,"Aolsecent","invalid")))</f>
        <v>Aolsecent</v>
      </c>
      <c r="N899" t="s">
        <v>20</v>
      </c>
    </row>
    <row r="900" spans="1:14">
      <c r="A900">
        <v>18066</v>
      </c>
      <c r="B900" t="s">
        <v>41</v>
      </c>
      <c r="C900" t="s">
        <v>40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42</v>
      </c>
      <c r="K900" t="s">
        <v>35</v>
      </c>
      <c r="L900">
        <v>60</v>
      </c>
      <c r="M900" t="str">
        <f t="shared" si="14"/>
        <v>old 55+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42</v>
      </c>
      <c r="K901" t="s">
        <v>35</v>
      </c>
      <c r="L901">
        <v>46</v>
      </c>
      <c r="M901" t="str">
        <f t="shared" si="14"/>
        <v>middle age 31-54</v>
      </c>
      <c r="N901" t="s">
        <v>20</v>
      </c>
    </row>
    <row r="902" spans="1:14">
      <c r="A902">
        <v>16122</v>
      </c>
      <c r="B902" t="s">
        <v>38</v>
      </c>
      <c r="C902" t="s">
        <v>40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 31-54</v>
      </c>
      <c r="N902" t="s">
        <v>17</v>
      </c>
    </row>
    <row r="903" spans="1:14">
      <c r="A903">
        <v>18607</v>
      </c>
      <c r="B903" t="s">
        <v>41</v>
      </c>
      <c r="C903" t="s">
        <v>39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 31-54</v>
      </c>
      <c r="N903" t="s">
        <v>17</v>
      </c>
    </row>
    <row r="904" spans="1:14">
      <c r="A904">
        <v>28858</v>
      </c>
      <c r="B904" t="s">
        <v>41</v>
      </c>
      <c r="C904" t="s">
        <v>40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 31-54</v>
      </c>
      <c r="N904" t="s">
        <v>20</v>
      </c>
    </row>
    <row r="905" spans="1:14">
      <c r="A905">
        <v>14432</v>
      </c>
      <c r="B905" t="s">
        <v>41</v>
      </c>
      <c r="C905" t="s">
        <v>40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 55+</v>
      </c>
      <c r="N905" t="s">
        <v>20</v>
      </c>
    </row>
    <row r="906" spans="1:14">
      <c r="A906">
        <v>26305</v>
      </c>
      <c r="B906" t="s">
        <v>41</v>
      </c>
      <c r="C906" t="s">
        <v>39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 31-54</v>
      </c>
      <c r="N906" t="s">
        <v>17</v>
      </c>
    </row>
    <row r="907" spans="1:14">
      <c r="A907">
        <v>22050</v>
      </c>
      <c r="B907" t="s">
        <v>41</v>
      </c>
      <c r="C907" t="s">
        <v>40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 31-54</v>
      </c>
      <c r="N907" t="s">
        <v>17</v>
      </c>
    </row>
    <row r="908" spans="1:14">
      <c r="A908">
        <v>25394</v>
      </c>
      <c r="B908" t="s">
        <v>38</v>
      </c>
      <c r="C908" t="s">
        <v>40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 31-54</v>
      </c>
      <c r="N908" t="s">
        <v>17</v>
      </c>
    </row>
    <row r="909" spans="1:14">
      <c r="A909">
        <v>19747</v>
      </c>
      <c r="B909" t="s">
        <v>38</v>
      </c>
      <c r="C909" t="s">
        <v>40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42</v>
      </c>
      <c r="K909" t="s">
        <v>35</v>
      </c>
      <c r="L909">
        <v>63</v>
      </c>
      <c r="M909" t="str">
        <f t="shared" si="14"/>
        <v>old 55+</v>
      </c>
      <c r="N909" t="s">
        <v>20</v>
      </c>
    </row>
    <row r="910" spans="1:14">
      <c r="A910">
        <v>23195</v>
      </c>
      <c r="B910" t="s">
        <v>41</v>
      </c>
      <c r="C910" t="s">
        <v>40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 31-54</v>
      </c>
      <c r="N910" t="s">
        <v>17</v>
      </c>
    </row>
    <row r="911" spans="1:14">
      <c r="A911">
        <v>21695</v>
      </c>
      <c r="B911" t="s">
        <v>38</v>
      </c>
      <c r="C911" t="s">
        <v>40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 31-54</v>
      </c>
      <c r="N911" t="s">
        <v>17</v>
      </c>
    </row>
    <row r="912" spans="1:14">
      <c r="A912">
        <v>13934</v>
      </c>
      <c r="B912" t="s">
        <v>38</v>
      </c>
      <c r="C912" t="s">
        <v>40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 31-54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 55+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 31-54</v>
      </c>
      <c r="N914" t="s">
        <v>20</v>
      </c>
    </row>
    <row r="915" spans="1:14">
      <c r="A915">
        <v>28657</v>
      </c>
      <c r="B915" t="s">
        <v>41</v>
      </c>
      <c r="C915" t="s">
        <v>40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 31-54</v>
      </c>
      <c r="N915" t="s">
        <v>17</v>
      </c>
    </row>
    <row r="916" spans="1:14">
      <c r="A916">
        <v>21713</v>
      </c>
      <c r="B916" t="s">
        <v>41</v>
      </c>
      <c r="C916" t="s">
        <v>40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 31-54</v>
      </c>
      <c r="N916" t="s">
        <v>20</v>
      </c>
    </row>
    <row r="917" spans="1:14">
      <c r="A917">
        <v>21752</v>
      </c>
      <c r="B917" t="s">
        <v>38</v>
      </c>
      <c r="C917" t="s">
        <v>40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42</v>
      </c>
      <c r="K917" t="s">
        <v>35</v>
      </c>
      <c r="L917">
        <v>64</v>
      </c>
      <c r="M917" t="str">
        <f t="shared" si="14"/>
        <v>old 55+</v>
      </c>
      <c r="N917" t="s">
        <v>20</v>
      </c>
    </row>
    <row r="918" spans="1:14">
      <c r="A918">
        <v>27273</v>
      </c>
      <c r="B918" t="s">
        <v>41</v>
      </c>
      <c r="C918" t="s">
        <v>40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 31-54</v>
      </c>
      <c r="N918" t="s">
        <v>17</v>
      </c>
    </row>
    <row r="919" spans="1:14">
      <c r="A919">
        <v>22719</v>
      </c>
      <c r="B919" t="s">
        <v>41</v>
      </c>
      <c r="C919" t="s">
        <v>40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 31-54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 31-54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42</v>
      </c>
      <c r="K921" t="s">
        <v>35</v>
      </c>
      <c r="L921">
        <v>61</v>
      </c>
      <c r="M921" t="str">
        <f t="shared" si="14"/>
        <v>old 55+</v>
      </c>
      <c r="N921" t="s">
        <v>20</v>
      </c>
    </row>
    <row r="922" spans="1:14">
      <c r="A922">
        <v>20754</v>
      </c>
      <c r="B922" t="s">
        <v>38</v>
      </c>
      <c r="C922" t="s">
        <v>40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 31-54</v>
      </c>
      <c r="N922" t="s">
        <v>20</v>
      </c>
    </row>
    <row r="923" spans="1:14">
      <c r="A923">
        <v>12153</v>
      </c>
      <c r="B923" t="s">
        <v>41</v>
      </c>
      <c r="C923" t="s">
        <v>39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 31-54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 31-54</v>
      </c>
      <c r="N924" t="s">
        <v>17</v>
      </c>
    </row>
    <row r="925" spans="1:14">
      <c r="A925">
        <v>26728</v>
      </c>
      <c r="B925" t="s">
        <v>41</v>
      </c>
      <c r="C925" t="s">
        <v>40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 31-54</v>
      </c>
      <c r="N925" t="s">
        <v>17</v>
      </c>
    </row>
    <row r="926" spans="1:14">
      <c r="A926">
        <v>11090</v>
      </c>
      <c r="B926" t="s">
        <v>41</v>
      </c>
      <c r="C926" t="s">
        <v>40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 31-54</v>
      </c>
      <c r="N926" t="s">
        <v>17</v>
      </c>
    </row>
    <row r="927" spans="1:14">
      <c r="A927">
        <v>15862</v>
      </c>
      <c r="B927" t="s">
        <v>41</v>
      </c>
      <c r="C927" t="s">
        <v>39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 31-54</v>
      </c>
      <c r="N927" t="s">
        <v>17</v>
      </c>
    </row>
    <row r="928" spans="1:14">
      <c r="A928">
        <v>26495</v>
      </c>
      <c r="B928" t="s">
        <v>41</v>
      </c>
      <c r="C928" t="s">
        <v>39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42</v>
      </c>
      <c r="K928" t="s">
        <v>35</v>
      </c>
      <c r="L928">
        <v>57</v>
      </c>
      <c r="M928" t="str">
        <f t="shared" si="14"/>
        <v>old 55+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 31-54</v>
      </c>
      <c r="N929" t="s">
        <v>20</v>
      </c>
    </row>
    <row r="930" spans="1:14">
      <c r="A930">
        <v>23449</v>
      </c>
      <c r="B930" t="s">
        <v>38</v>
      </c>
      <c r="C930" t="s">
        <v>40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 31-54</v>
      </c>
      <c r="N930" t="s">
        <v>20</v>
      </c>
    </row>
    <row r="931" spans="1:14">
      <c r="A931">
        <v>23459</v>
      </c>
      <c r="B931" t="s">
        <v>38</v>
      </c>
      <c r="C931" t="s">
        <v>40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 31-54</v>
      </c>
      <c r="N931" t="s">
        <v>20</v>
      </c>
    </row>
    <row r="932" spans="1:14">
      <c r="A932">
        <v>19543</v>
      </c>
      <c r="B932" t="s">
        <v>38</v>
      </c>
      <c r="C932" t="s">
        <v>40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42</v>
      </c>
      <c r="K932" t="s">
        <v>35</v>
      </c>
      <c r="L932">
        <v>47</v>
      </c>
      <c r="M932" t="str">
        <f t="shared" si="14"/>
        <v>middle age 31-54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 31-54</v>
      </c>
      <c r="N933" t="s">
        <v>17</v>
      </c>
    </row>
    <row r="934" spans="1:14">
      <c r="A934">
        <v>12033</v>
      </c>
      <c r="B934" t="s">
        <v>41</v>
      </c>
      <c r="C934" t="s">
        <v>39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Aolsecent</v>
      </c>
      <c r="N934" t="s">
        <v>17</v>
      </c>
    </row>
    <row r="935" spans="1:14">
      <c r="A935">
        <v>11941</v>
      </c>
      <c r="B935" t="s">
        <v>41</v>
      </c>
      <c r="C935" t="s">
        <v>40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Aolsecent</v>
      </c>
      <c r="N935" t="s">
        <v>20</v>
      </c>
    </row>
    <row r="936" spans="1:14">
      <c r="A936">
        <v>14389</v>
      </c>
      <c r="B936" t="s">
        <v>38</v>
      </c>
      <c r="C936" t="s">
        <v>40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 55+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 31-54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 55+</v>
      </c>
      <c r="N938" t="s">
        <v>20</v>
      </c>
    </row>
    <row r="939" spans="1:14">
      <c r="A939">
        <v>11663</v>
      </c>
      <c r="B939" t="s">
        <v>38</v>
      </c>
      <c r="C939" t="s">
        <v>40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 31-54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Aolsecent</v>
      </c>
      <c r="N940" t="s">
        <v>20</v>
      </c>
    </row>
    <row r="941" spans="1:14">
      <c r="A941">
        <v>23455</v>
      </c>
      <c r="B941" t="s">
        <v>41</v>
      </c>
      <c r="C941" t="s">
        <v>40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 31-54</v>
      </c>
      <c r="N941" t="s">
        <v>20</v>
      </c>
    </row>
    <row r="942" spans="1:14">
      <c r="A942">
        <v>15292</v>
      </c>
      <c r="B942" t="s">
        <v>41</v>
      </c>
      <c r="C942" t="s">
        <v>39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 31-54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 31-54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 31-54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 31-54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 31-54</v>
      </c>
      <c r="N946" t="s">
        <v>17</v>
      </c>
    </row>
    <row r="947" spans="1:14">
      <c r="A947">
        <v>25419</v>
      </c>
      <c r="B947" t="s">
        <v>41</v>
      </c>
      <c r="C947" t="s">
        <v>40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 31-54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 55+</v>
      </c>
      <c r="N948" t="s">
        <v>17</v>
      </c>
    </row>
    <row r="949" spans="1:14">
      <c r="A949">
        <v>11303</v>
      </c>
      <c r="B949" t="s">
        <v>41</v>
      </c>
      <c r="C949" t="s">
        <v>39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 31-54</v>
      </c>
      <c r="N949" t="s">
        <v>17</v>
      </c>
    </row>
    <row r="950" spans="1:14">
      <c r="A950">
        <v>21693</v>
      </c>
      <c r="B950" t="s">
        <v>41</v>
      </c>
      <c r="C950" t="s">
        <v>39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 31-54</v>
      </c>
      <c r="N950" t="s">
        <v>20</v>
      </c>
    </row>
    <row r="951" spans="1:14">
      <c r="A951">
        <v>28056</v>
      </c>
      <c r="B951" t="s">
        <v>38</v>
      </c>
      <c r="C951" t="s">
        <v>40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42</v>
      </c>
      <c r="K951" t="s">
        <v>35</v>
      </c>
      <c r="L951">
        <v>53</v>
      </c>
      <c r="M951" t="str">
        <f t="shared" si="14"/>
        <v>middle age 31-54</v>
      </c>
      <c r="N951" t="s">
        <v>20</v>
      </c>
    </row>
    <row r="952" spans="1:14">
      <c r="A952">
        <v>11788</v>
      </c>
      <c r="B952" t="s">
        <v>41</v>
      </c>
      <c r="C952" t="s">
        <v>39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 31-54</v>
      </c>
      <c r="N952" t="s">
        <v>20</v>
      </c>
    </row>
    <row r="953" spans="1:14">
      <c r="A953">
        <v>22296</v>
      </c>
      <c r="B953" t="s">
        <v>38</v>
      </c>
      <c r="C953" t="s">
        <v>40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 31-54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 55+</v>
      </c>
      <c r="N954" t="s">
        <v>20</v>
      </c>
    </row>
    <row r="955" spans="1:14">
      <c r="A955">
        <v>17654</v>
      </c>
      <c r="B955" t="s">
        <v>41</v>
      </c>
      <c r="C955" t="s">
        <v>39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Aolsecent</v>
      </c>
      <c r="N955" t="s">
        <v>17</v>
      </c>
    </row>
    <row r="956" spans="1:14">
      <c r="A956">
        <v>14662</v>
      </c>
      <c r="B956" t="s">
        <v>38</v>
      </c>
      <c r="C956" t="s">
        <v>40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 31-54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 31-54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 31-54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Aolsecent</v>
      </c>
      <c r="N959" t="s">
        <v>20</v>
      </c>
    </row>
    <row r="960" spans="1:14">
      <c r="A960">
        <v>21940</v>
      </c>
      <c r="B960" t="s">
        <v>38</v>
      </c>
      <c r="C960" t="s">
        <v>40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 31-54</v>
      </c>
      <c r="N960" t="s">
        <v>17</v>
      </c>
    </row>
    <row r="961" spans="1:14">
      <c r="A961">
        <v>20196</v>
      </c>
      <c r="B961" t="s">
        <v>38</v>
      </c>
      <c r="C961" t="s">
        <v>40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 31-54</v>
      </c>
      <c r="N961" t="s">
        <v>17</v>
      </c>
    </row>
    <row r="962" spans="1:14">
      <c r="A962">
        <v>23491</v>
      </c>
      <c r="B962" t="s">
        <v>41</v>
      </c>
      <c r="C962" t="s">
        <v>40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 31-54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IF(L963&gt;55,"old 55+",IF(L963&gt;=31,"middle age 31-54",IF(L963&lt;31,"Aolsecent","invalid")))</f>
        <v>old 55+</v>
      </c>
      <c r="N963" t="s">
        <v>20</v>
      </c>
    </row>
    <row r="964" spans="1:14">
      <c r="A964">
        <v>16813</v>
      </c>
      <c r="B964" t="s">
        <v>38</v>
      </c>
      <c r="C964" t="s">
        <v>40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42</v>
      </c>
      <c r="K964" t="s">
        <v>35</v>
      </c>
      <c r="L964">
        <v>55</v>
      </c>
      <c r="M964" t="str">
        <f t="shared" si="15"/>
        <v>middle age 31-54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 55+</v>
      </c>
      <c r="N965" t="s">
        <v>17</v>
      </c>
    </row>
    <row r="966" spans="1:14">
      <c r="A966">
        <v>27434</v>
      </c>
      <c r="B966" t="s">
        <v>41</v>
      </c>
      <c r="C966" t="s">
        <v>40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42</v>
      </c>
      <c r="K966" t="s">
        <v>35</v>
      </c>
      <c r="L966">
        <v>56</v>
      </c>
      <c r="M966" t="str">
        <f t="shared" si="15"/>
        <v>old 55+</v>
      </c>
      <c r="N966" t="s">
        <v>20</v>
      </c>
    </row>
    <row r="967" spans="1:14">
      <c r="A967">
        <v>27756</v>
      </c>
      <c r="B967" t="s">
        <v>41</v>
      </c>
      <c r="C967" t="s">
        <v>39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 31-54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 31-54</v>
      </c>
      <c r="N968" t="s">
        <v>17</v>
      </c>
    </row>
    <row r="969" spans="1:14">
      <c r="A969">
        <v>19012</v>
      </c>
      <c r="B969" t="s">
        <v>38</v>
      </c>
      <c r="C969" t="s">
        <v>40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 55+</v>
      </c>
      <c r="N969" t="s">
        <v>20</v>
      </c>
    </row>
    <row r="970" spans="1:14">
      <c r="A970">
        <v>18329</v>
      </c>
      <c r="B970" t="s">
        <v>41</v>
      </c>
      <c r="C970" t="s">
        <v>40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Aolsecent</v>
      </c>
      <c r="N970" t="s">
        <v>20</v>
      </c>
    </row>
    <row r="971" spans="1:14">
      <c r="A971">
        <v>29037</v>
      </c>
      <c r="B971" t="s">
        <v>38</v>
      </c>
      <c r="C971" t="s">
        <v>40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 31-54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 31-54</v>
      </c>
      <c r="N972" t="s">
        <v>20</v>
      </c>
    </row>
    <row r="973" spans="1:14">
      <c r="A973">
        <v>12192</v>
      </c>
      <c r="B973" t="s">
        <v>41</v>
      </c>
      <c r="C973" t="s">
        <v>39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 31-54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 31-54</v>
      </c>
      <c r="N974" t="s">
        <v>20</v>
      </c>
    </row>
    <row r="975" spans="1:14">
      <c r="A975">
        <v>11734</v>
      </c>
      <c r="B975" t="s">
        <v>38</v>
      </c>
      <c r="C975" t="s">
        <v>40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 31-54</v>
      </c>
      <c r="N975" t="s">
        <v>20</v>
      </c>
    </row>
    <row r="976" spans="1:14">
      <c r="A976">
        <v>17462</v>
      </c>
      <c r="B976" t="s">
        <v>38</v>
      </c>
      <c r="C976" t="s">
        <v>40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 31-54</v>
      </c>
      <c r="N976" t="s">
        <v>17</v>
      </c>
    </row>
    <row r="977" spans="1:14">
      <c r="A977">
        <v>20659</v>
      </c>
      <c r="B977" t="s">
        <v>38</v>
      </c>
      <c r="C977" t="s">
        <v>40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 31-54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42</v>
      </c>
      <c r="K978" t="s">
        <v>35</v>
      </c>
      <c r="L978">
        <v>66</v>
      </c>
      <c r="M978" t="str">
        <f t="shared" si="15"/>
        <v>old 55+</v>
      </c>
      <c r="N978" t="s">
        <v>20</v>
      </c>
    </row>
    <row r="979" spans="1:14">
      <c r="A979">
        <v>19741</v>
      </c>
      <c r="B979" t="s">
        <v>41</v>
      </c>
      <c r="C979" t="s">
        <v>39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 55+</v>
      </c>
      <c r="N979" t="s">
        <v>20</v>
      </c>
    </row>
    <row r="980" spans="1:14">
      <c r="A980">
        <v>17450</v>
      </c>
      <c r="B980" t="s">
        <v>38</v>
      </c>
      <c r="C980" t="s">
        <v>40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 31-54</v>
      </c>
      <c r="N980" t="s">
        <v>20</v>
      </c>
    </row>
    <row r="981" spans="1:14">
      <c r="A981">
        <v>17337</v>
      </c>
      <c r="B981" t="s">
        <v>41</v>
      </c>
      <c r="C981" t="s">
        <v>40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 31-54</v>
      </c>
      <c r="N981" t="s">
        <v>20</v>
      </c>
    </row>
    <row r="982" spans="1:14">
      <c r="A982">
        <v>18594</v>
      </c>
      <c r="B982" t="s">
        <v>41</v>
      </c>
      <c r="C982" t="s">
        <v>39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42</v>
      </c>
      <c r="K982" t="s">
        <v>35</v>
      </c>
      <c r="L982">
        <v>40</v>
      </c>
      <c r="M982" t="str">
        <f t="shared" si="15"/>
        <v>middle age 31-54</v>
      </c>
      <c r="N982" t="s">
        <v>17</v>
      </c>
    </row>
    <row r="983" spans="1:14">
      <c r="A983">
        <v>15982</v>
      </c>
      <c r="B983" t="s">
        <v>38</v>
      </c>
      <c r="C983" t="s">
        <v>40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 31-54</v>
      </c>
      <c r="N983" t="s">
        <v>20</v>
      </c>
    </row>
    <row r="984" spans="1:14">
      <c r="A984">
        <v>28625</v>
      </c>
      <c r="B984" t="s">
        <v>41</v>
      </c>
      <c r="C984" t="s">
        <v>40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 31-54</v>
      </c>
      <c r="N984" t="s">
        <v>17</v>
      </c>
    </row>
    <row r="985" spans="1:14">
      <c r="A985">
        <v>11269</v>
      </c>
      <c r="B985" t="s">
        <v>38</v>
      </c>
      <c r="C985" t="s">
        <v>40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 31-54</v>
      </c>
      <c r="N985" t="s">
        <v>20</v>
      </c>
    </row>
    <row r="986" spans="1:14">
      <c r="A986">
        <v>25148</v>
      </c>
      <c r="B986" t="s">
        <v>38</v>
      </c>
      <c r="C986" t="s">
        <v>40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 31-54</v>
      </c>
      <c r="N986" t="s">
        <v>17</v>
      </c>
    </row>
    <row r="987" spans="1:14">
      <c r="A987">
        <v>13920</v>
      </c>
      <c r="B987" t="s">
        <v>41</v>
      </c>
      <c r="C987" t="s">
        <v>39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 31-54</v>
      </c>
      <c r="N987" t="s">
        <v>20</v>
      </c>
    </row>
    <row r="988" spans="1:14">
      <c r="A988">
        <v>23704</v>
      </c>
      <c r="B988" t="s">
        <v>41</v>
      </c>
      <c r="C988" t="s">
        <v>40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42</v>
      </c>
      <c r="K988" t="s">
        <v>35</v>
      </c>
      <c r="L988">
        <v>60</v>
      </c>
      <c r="M988" t="str">
        <f t="shared" si="15"/>
        <v>old 55+</v>
      </c>
      <c r="N988" t="s">
        <v>17</v>
      </c>
    </row>
    <row r="989" spans="1:14">
      <c r="A989">
        <v>28972</v>
      </c>
      <c r="B989" t="s">
        <v>41</v>
      </c>
      <c r="C989" t="s">
        <v>39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42</v>
      </c>
      <c r="K989" t="s">
        <v>35</v>
      </c>
      <c r="L989">
        <v>66</v>
      </c>
      <c r="M989" t="str">
        <f t="shared" si="15"/>
        <v>old 55+</v>
      </c>
      <c r="N989" t="s">
        <v>20</v>
      </c>
    </row>
    <row r="990" spans="1:14">
      <c r="A990">
        <v>22730</v>
      </c>
      <c r="B990" t="s">
        <v>38</v>
      </c>
      <c r="C990" t="s">
        <v>40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42</v>
      </c>
      <c r="K990" t="s">
        <v>35</v>
      </c>
      <c r="L990">
        <v>63</v>
      </c>
      <c r="M990" t="str">
        <f t="shared" si="15"/>
        <v>old 55+</v>
      </c>
      <c r="N990" t="s">
        <v>20</v>
      </c>
    </row>
    <row r="991" spans="1:14">
      <c r="A991">
        <v>29134</v>
      </c>
      <c r="B991" t="s">
        <v>38</v>
      </c>
      <c r="C991" t="s">
        <v>40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42</v>
      </c>
      <c r="K991" t="s">
        <v>35</v>
      </c>
      <c r="L991">
        <v>42</v>
      </c>
      <c r="M991" t="str">
        <f t="shared" si="15"/>
        <v>middle age 31-54</v>
      </c>
      <c r="N991" t="s">
        <v>20</v>
      </c>
    </row>
    <row r="992" spans="1:14">
      <c r="A992">
        <v>14332</v>
      </c>
      <c r="B992" t="s">
        <v>41</v>
      </c>
      <c r="C992" t="s">
        <v>39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Aolsecent</v>
      </c>
      <c r="N992" t="s">
        <v>20</v>
      </c>
    </row>
    <row r="993" spans="1:14">
      <c r="A993">
        <v>19117</v>
      </c>
      <c r="B993" t="s">
        <v>41</v>
      </c>
      <c r="C993" t="s">
        <v>39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 31-54</v>
      </c>
      <c r="N993" t="s">
        <v>17</v>
      </c>
    </row>
    <row r="994" spans="1:14">
      <c r="A994">
        <v>22864</v>
      </c>
      <c r="B994" t="s">
        <v>38</v>
      </c>
      <c r="C994" t="s">
        <v>40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 31-54</v>
      </c>
      <c r="N994" t="s">
        <v>17</v>
      </c>
    </row>
    <row r="995" spans="1:14">
      <c r="A995">
        <v>11292</v>
      </c>
      <c r="B995" t="s">
        <v>41</v>
      </c>
      <c r="C995" t="s">
        <v>40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 31-54</v>
      </c>
      <c r="N995" t="s">
        <v>17</v>
      </c>
    </row>
    <row r="996" spans="1:14">
      <c r="A996">
        <v>13466</v>
      </c>
      <c r="B996" t="s">
        <v>38</v>
      </c>
      <c r="C996" t="s">
        <v>40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 31-54</v>
      </c>
      <c r="N996" t="s">
        <v>20</v>
      </c>
    </row>
    <row r="997" spans="1:14">
      <c r="A997">
        <v>23731</v>
      </c>
      <c r="B997" t="s">
        <v>38</v>
      </c>
      <c r="C997" t="s">
        <v>40</v>
      </c>
      <c r="D997" s="1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 31-54</v>
      </c>
      <c r="N997" t="s">
        <v>17</v>
      </c>
    </row>
    <row r="998" spans="1:14">
      <c r="A998">
        <v>28672</v>
      </c>
      <c r="B998" t="s">
        <v>41</v>
      </c>
      <c r="C998" t="s">
        <v>40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 31-54</v>
      </c>
      <c r="N998" t="s">
        <v>17</v>
      </c>
    </row>
    <row r="999" spans="1:14">
      <c r="A999">
        <v>11809</v>
      </c>
      <c r="B999" t="s">
        <v>38</v>
      </c>
      <c r="C999" t="s">
        <v>40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 31-54</v>
      </c>
      <c r="N999" t="s">
        <v>17</v>
      </c>
    </row>
    <row r="1000" spans="1:14">
      <c r="A1000">
        <v>19664</v>
      </c>
      <c r="B1000" t="s">
        <v>41</v>
      </c>
      <c r="C1000" t="s">
        <v>40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 31-54</v>
      </c>
      <c r="N1000" t="s">
        <v>20</v>
      </c>
    </row>
    <row r="1001" spans="1:14">
      <c r="A1001">
        <v>12121</v>
      </c>
      <c r="B1001" t="s">
        <v>41</v>
      </c>
      <c r="C1001" t="s">
        <v>40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42</v>
      </c>
      <c r="K1001" t="s">
        <v>35</v>
      </c>
      <c r="L1001">
        <v>53</v>
      </c>
      <c r="M1001" t="str">
        <f t="shared" si="15"/>
        <v>middle age 31-54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0"/>
  <sheetViews>
    <sheetView workbookViewId="0">
      <selection activeCell="A1" sqref="A1:N240"/>
    </sheetView>
  </sheetViews>
  <sheetFormatPr defaultColWidth="9.14285714285714" defaultRowHeight="15"/>
  <sheetData>
    <row r="1" spans="1:14">
      <c r="A1" t="s">
        <v>0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22173</v>
      </c>
      <c r="B2" t="s">
        <v>38</v>
      </c>
      <c r="C2" t="s">
        <v>43</v>
      </c>
      <c r="D2">
        <v>30000</v>
      </c>
      <c r="E2">
        <v>3</v>
      </c>
      <c r="F2" t="s">
        <v>30</v>
      </c>
      <c r="G2" t="s">
        <v>16</v>
      </c>
      <c r="H2" t="s">
        <v>20</v>
      </c>
      <c r="I2">
        <v>2</v>
      </c>
      <c r="J2" t="s">
        <v>29</v>
      </c>
      <c r="K2" t="s">
        <v>27</v>
      </c>
      <c r="L2">
        <v>54</v>
      </c>
      <c r="M2" t="s">
        <v>44</v>
      </c>
      <c r="N2" t="s">
        <v>17</v>
      </c>
    </row>
    <row r="3" spans="1:14">
      <c r="A3">
        <v>20870</v>
      </c>
      <c r="B3" t="s">
        <v>41</v>
      </c>
      <c r="C3" t="s">
        <v>43</v>
      </c>
      <c r="D3">
        <v>10000</v>
      </c>
      <c r="E3">
        <v>2</v>
      </c>
      <c r="F3" t="s">
        <v>30</v>
      </c>
      <c r="G3" t="s">
        <v>28</v>
      </c>
      <c r="H3" t="s">
        <v>17</v>
      </c>
      <c r="I3">
        <v>1</v>
      </c>
      <c r="J3" t="s">
        <v>18</v>
      </c>
      <c r="K3" t="s">
        <v>19</v>
      </c>
      <c r="L3">
        <v>38</v>
      </c>
      <c r="M3" t="s">
        <v>44</v>
      </c>
      <c r="N3" t="s">
        <v>17</v>
      </c>
    </row>
    <row r="4" spans="1:14">
      <c r="A4">
        <v>25598</v>
      </c>
      <c r="B4" t="s">
        <v>38</v>
      </c>
      <c r="C4" t="s">
        <v>43</v>
      </c>
      <c r="D4">
        <v>40000</v>
      </c>
      <c r="E4">
        <v>0</v>
      </c>
      <c r="F4" t="s">
        <v>34</v>
      </c>
      <c r="G4" t="s">
        <v>22</v>
      </c>
      <c r="H4" t="s">
        <v>17</v>
      </c>
      <c r="I4">
        <v>0</v>
      </c>
      <c r="J4" t="s">
        <v>18</v>
      </c>
      <c r="K4" t="s">
        <v>19</v>
      </c>
      <c r="L4">
        <v>36</v>
      </c>
      <c r="M4" t="s">
        <v>44</v>
      </c>
      <c r="N4" t="s">
        <v>17</v>
      </c>
    </row>
    <row r="5" spans="1:14">
      <c r="A5">
        <v>16466</v>
      </c>
      <c r="B5" t="s">
        <v>41</v>
      </c>
      <c r="C5" t="s">
        <v>43</v>
      </c>
      <c r="D5">
        <v>20000</v>
      </c>
      <c r="E5">
        <v>0</v>
      </c>
      <c r="F5" t="s">
        <v>32</v>
      </c>
      <c r="G5" t="s">
        <v>28</v>
      </c>
      <c r="H5" t="s">
        <v>20</v>
      </c>
      <c r="I5">
        <v>2</v>
      </c>
      <c r="J5" t="s">
        <v>18</v>
      </c>
      <c r="K5" t="s">
        <v>19</v>
      </c>
      <c r="L5">
        <v>32</v>
      </c>
      <c r="M5" t="s">
        <v>44</v>
      </c>
      <c r="N5" t="s">
        <v>17</v>
      </c>
    </row>
    <row r="6" spans="1:14">
      <c r="A6">
        <v>17891</v>
      </c>
      <c r="B6" t="s">
        <v>38</v>
      </c>
      <c r="C6" t="s">
        <v>43</v>
      </c>
      <c r="D6">
        <v>10000</v>
      </c>
      <c r="E6">
        <v>2</v>
      </c>
      <c r="F6" t="s">
        <v>21</v>
      </c>
      <c r="G6" t="s">
        <v>28</v>
      </c>
      <c r="H6" t="s">
        <v>17</v>
      </c>
      <c r="I6">
        <v>1</v>
      </c>
      <c r="J6" t="s">
        <v>18</v>
      </c>
      <c r="K6" t="s">
        <v>19</v>
      </c>
      <c r="L6">
        <v>50</v>
      </c>
      <c r="M6" t="s">
        <v>44</v>
      </c>
      <c r="N6" t="s">
        <v>17</v>
      </c>
    </row>
    <row r="7" spans="1:14">
      <c r="A7">
        <v>16259</v>
      </c>
      <c r="B7" t="s">
        <v>41</v>
      </c>
      <c r="C7" t="s">
        <v>43</v>
      </c>
      <c r="D7">
        <v>10000</v>
      </c>
      <c r="E7">
        <v>4</v>
      </c>
      <c r="F7" t="s">
        <v>32</v>
      </c>
      <c r="G7" t="s">
        <v>28</v>
      </c>
      <c r="H7" t="s">
        <v>17</v>
      </c>
      <c r="I7">
        <v>2</v>
      </c>
      <c r="J7" t="s">
        <v>18</v>
      </c>
      <c r="K7" t="s">
        <v>19</v>
      </c>
      <c r="L7">
        <v>40</v>
      </c>
      <c r="M7" t="s">
        <v>44</v>
      </c>
      <c r="N7" t="s">
        <v>17</v>
      </c>
    </row>
    <row r="8" spans="1:14">
      <c r="A8">
        <v>14347</v>
      </c>
      <c r="B8" t="s">
        <v>41</v>
      </c>
      <c r="C8" t="s">
        <v>43</v>
      </c>
      <c r="D8">
        <v>40000</v>
      </c>
      <c r="E8">
        <v>2</v>
      </c>
      <c r="F8" t="s">
        <v>15</v>
      </c>
      <c r="G8" t="s">
        <v>31</v>
      </c>
      <c r="H8" t="s">
        <v>17</v>
      </c>
      <c r="I8">
        <v>2</v>
      </c>
      <c r="J8" t="s">
        <v>26</v>
      </c>
      <c r="K8" t="s">
        <v>27</v>
      </c>
      <c r="L8">
        <v>65</v>
      </c>
      <c r="M8" t="s">
        <v>45</v>
      </c>
      <c r="N8" t="s">
        <v>17</v>
      </c>
    </row>
    <row r="9" spans="1:14">
      <c r="A9">
        <v>17185</v>
      </c>
      <c r="B9" t="s">
        <v>38</v>
      </c>
      <c r="C9" t="s">
        <v>43</v>
      </c>
      <c r="D9">
        <v>170000</v>
      </c>
      <c r="E9">
        <v>4</v>
      </c>
      <c r="F9" t="s">
        <v>21</v>
      </c>
      <c r="G9" t="s">
        <v>23</v>
      </c>
      <c r="H9" t="s">
        <v>20</v>
      </c>
      <c r="I9">
        <v>3</v>
      </c>
      <c r="J9" t="s">
        <v>26</v>
      </c>
      <c r="K9" t="s">
        <v>19</v>
      </c>
      <c r="L9">
        <v>48</v>
      </c>
      <c r="M9" t="s">
        <v>44</v>
      </c>
      <c r="N9" t="s">
        <v>17</v>
      </c>
    </row>
    <row r="10" spans="1:14">
      <c r="A10">
        <v>29380</v>
      </c>
      <c r="B10" t="s">
        <v>38</v>
      </c>
      <c r="C10" t="s">
        <v>43</v>
      </c>
      <c r="D10">
        <v>20000</v>
      </c>
      <c r="E10">
        <v>3</v>
      </c>
      <c r="F10" t="s">
        <v>30</v>
      </c>
      <c r="G10" t="s">
        <v>28</v>
      </c>
      <c r="H10" t="s">
        <v>17</v>
      </c>
      <c r="I10">
        <v>0</v>
      </c>
      <c r="J10" t="s">
        <v>18</v>
      </c>
      <c r="K10" t="s">
        <v>19</v>
      </c>
      <c r="L10">
        <v>41</v>
      </c>
      <c r="M10" t="s">
        <v>44</v>
      </c>
      <c r="N10" t="s">
        <v>17</v>
      </c>
    </row>
    <row r="11" spans="1:14">
      <c r="A11">
        <v>23986</v>
      </c>
      <c r="B11" t="s">
        <v>38</v>
      </c>
      <c r="C11" t="s">
        <v>43</v>
      </c>
      <c r="D11">
        <v>20000</v>
      </c>
      <c r="E11">
        <v>1</v>
      </c>
      <c r="F11" t="s">
        <v>15</v>
      </c>
      <c r="G11" t="s">
        <v>22</v>
      </c>
      <c r="H11" t="s">
        <v>17</v>
      </c>
      <c r="I11">
        <v>0</v>
      </c>
      <c r="J11" t="s">
        <v>18</v>
      </c>
      <c r="K11" t="s">
        <v>19</v>
      </c>
      <c r="L11">
        <v>66</v>
      </c>
      <c r="M11" t="s">
        <v>45</v>
      </c>
      <c r="N11" t="s">
        <v>17</v>
      </c>
    </row>
    <row r="12" spans="1:14">
      <c r="A12">
        <v>24466</v>
      </c>
      <c r="B12" t="s">
        <v>38</v>
      </c>
      <c r="C12" t="s">
        <v>43</v>
      </c>
      <c r="D12">
        <v>60000</v>
      </c>
      <c r="E12">
        <v>1</v>
      </c>
      <c r="F12" t="s">
        <v>21</v>
      </c>
      <c r="G12" t="s">
        <v>16</v>
      </c>
      <c r="H12" t="s">
        <v>17</v>
      </c>
      <c r="I12">
        <v>1</v>
      </c>
      <c r="J12" t="s">
        <v>26</v>
      </c>
      <c r="K12" t="s">
        <v>27</v>
      </c>
      <c r="L12">
        <v>46</v>
      </c>
      <c r="M12" t="s">
        <v>44</v>
      </c>
      <c r="N12" t="s">
        <v>17</v>
      </c>
    </row>
    <row r="13" spans="1:14">
      <c r="A13">
        <v>29097</v>
      </c>
      <c r="B13" t="s">
        <v>41</v>
      </c>
      <c r="C13" t="s">
        <v>43</v>
      </c>
      <c r="D13">
        <v>40000</v>
      </c>
      <c r="E13">
        <v>2</v>
      </c>
      <c r="F13" t="s">
        <v>21</v>
      </c>
      <c r="G13" t="s">
        <v>16</v>
      </c>
      <c r="H13" t="s">
        <v>17</v>
      </c>
      <c r="I13">
        <v>2</v>
      </c>
      <c r="J13" t="s">
        <v>26</v>
      </c>
      <c r="K13" t="s">
        <v>27</v>
      </c>
      <c r="L13">
        <v>52</v>
      </c>
      <c r="M13" t="s">
        <v>44</v>
      </c>
      <c r="N13" t="s">
        <v>17</v>
      </c>
    </row>
    <row r="14" spans="1:14">
      <c r="A14">
        <v>25502</v>
      </c>
      <c r="B14" t="s">
        <v>38</v>
      </c>
      <c r="C14" t="s">
        <v>43</v>
      </c>
      <c r="D14">
        <v>40000</v>
      </c>
      <c r="E14">
        <v>1</v>
      </c>
      <c r="F14" t="s">
        <v>15</v>
      </c>
      <c r="G14" t="s">
        <v>16</v>
      </c>
      <c r="H14" t="s">
        <v>17</v>
      </c>
      <c r="I14">
        <v>0</v>
      </c>
      <c r="J14" t="s">
        <v>18</v>
      </c>
      <c r="K14" t="s">
        <v>19</v>
      </c>
      <c r="L14">
        <v>43</v>
      </c>
      <c r="M14" t="s">
        <v>44</v>
      </c>
      <c r="N14" t="s">
        <v>17</v>
      </c>
    </row>
    <row r="15" spans="1:14">
      <c r="A15">
        <v>14927</v>
      </c>
      <c r="B15" t="s">
        <v>38</v>
      </c>
      <c r="C15" t="s">
        <v>43</v>
      </c>
      <c r="D15">
        <v>30000</v>
      </c>
      <c r="E15">
        <v>1</v>
      </c>
      <c r="F15" t="s">
        <v>15</v>
      </c>
      <c r="G15" t="s">
        <v>22</v>
      </c>
      <c r="H15" t="s">
        <v>17</v>
      </c>
      <c r="I15">
        <v>0</v>
      </c>
      <c r="J15" t="s">
        <v>18</v>
      </c>
      <c r="K15" t="s">
        <v>19</v>
      </c>
      <c r="L15">
        <v>37</v>
      </c>
      <c r="M15" t="s">
        <v>44</v>
      </c>
      <c r="N15" t="s">
        <v>17</v>
      </c>
    </row>
    <row r="16" spans="1:14">
      <c r="A16">
        <v>29355</v>
      </c>
      <c r="B16" t="s">
        <v>38</v>
      </c>
      <c r="C16" t="s">
        <v>43</v>
      </c>
      <c r="D16">
        <v>40000</v>
      </c>
      <c r="E16">
        <v>0</v>
      </c>
      <c r="F16" t="s">
        <v>34</v>
      </c>
      <c r="G16" t="s">
        <v>22</v>
      </c>
      <c r="H16" t="s">
        <v>17</v>
      </c>
      <c r="I16">
        <v>0</v>
      </c>
      <c r="J16" t="s">
        <v>18</v>
      </c>
      <c r="K16" t="s">
        <v>19</v>
      </c>
      <c r="L16">
        <v>37</v>
      </c>
      <c r="M16" t="s">
        <v>44</v>
      </c>
      <c r="N16" t="s">
        <v>17</v>
      </c>
    </row>
    <row r="17" spans="1:14">
      <c r="A17">
        <v>14813</v>
      </c>
      <c r="B17" t="s">
        <v>41</v>
      </c>
      <c r="C17" t="s">
        <v>43</v>
      </c>
      <c r="D17">
        <v>20000</v>
      </c>
      <c r="E17">
        <v>4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43</v>
      </c>
      <c r="M17" t="s">
        <v>44</v>
      </c>
      <c r="N17" t="s">
        <v>17</v>
      </c>
    </row>
    <row r="18" spans="1:14">
      <c r="A18">
        <v>26956</v>
      </c>
      <c r="B18" t="s">
        <v>41</v>
      </c>
      <c r="C18" t="s">
        <v>43</v>
      </c>
      <c r="D18">
        <v>20000</v>
      </c>
      <c r="E18">
        <v>0</v>
      </c>
      <c r="F18" t="s">
        <v>21</v>
      </c>
      <c r="G18" t="s">
        <v>28</v>
      </c>
      <c r="H18" t="s">
        <v>20</v>
      </c>
      <c r="I18">
        <v>1</v>
      </c>
      <c r="J18" t="s">
        <v>24</v>
      </c>
      <c r="K18" t="s">
        <v>19</v>
      </c>
      <c r="L18">
        <v>36</v>
      </c>
      <c r="M18" t="s">
        <v>44</v>
      </c>
      <c r="N18" t="s">
        <v>17</v>
      </c>
    </row>
    <row r="19" spans="1:14">
      <c r="A19">
        <v>20828</v>
      </c>
      <c r="B19" t="s">
        <v>38</v>
      </c>
      <c r="C19" t="s">
        <v>43</v>
      </c>
      <c r="D19">
        <v>30000</v>
      </c>
      <c r="E19">
        <v>4</v>
      </c>
      <c r="F19" t="s">
        <v>34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45</v>
      </c>
      <c r="M19" t="s">
        <v>44</v>
      </c>
      <c r="N19" t="s">
        <v>17</v>
      </c>
    </row>
    <row r="20" spans="1:14">
      <c r="A20">
        <v>26886</v>
      </c>
      <c r="B20" t="s">
        <v>41</v>
      </c>
      <c r="C20" t="s">
        <v>43</v>
      </c>
      <c r="D20">
        <v>30000</v>
      </c>
      <c r="E20">
        <v>0</v>
      </c>
      <c r="F20" t="s">
        <v>21</v>
      </c>
      <c r="G20" t="s">
        <v>22</v>
      </c>
      <c r="H20" t="s">
        <v>20</v>
      </c>
      <c r="I20">
        <v>1</v>
      </c>
      <c r="J20" t="s">
        <v>18</v>
      </c>
      <c r="K20" t="s">
        <v>19</v>
      </c>
      <c r="L20">
        <v>29</v>
      </c>
      <c r="M20" t="s">
        <v>46</v>
      </c>
      <c r="N20" t="s">
        <v>17</v>
      </c>
    </row>
    <row r="21" spans="1:14">
      <c r="A21">
        <v>19562</v>
      </c>
      <c r="B21" t="s">
        <v>41</v>
      </c>
      <c r="C21" t="s">
        <v>43</v>
      </c>
      <c r="D21">
        <v>60000</v>
      </c>
      <c r="E21">
        <v>2</v>
      </c>
      <c r="F21" t="s">
        <v>15</v>
      </c>
      <c r="G21" t="s">
        <v>23</v>
      </c>
      <c r="H21" t="s">
        <v>17</v>
      </c>
      <c r="I21">
        <v>1</v>
      </c>
      <c r="J21" t="s">
        <v>24</v>
      </c>
      <c r="K21" t="s">
        <v>27</v>
      </c>
      <c r="L21">
        <v>37</v>
      </c>
      <c r="M21" t="s">
        <v>44</v>
      </c>
      <c r="N21" t="s">
        <v>17</v>
      </c>
    </row>
    <row r="22" spans="1:14">
      <c r="A22">
        <v>18491</v>
      </c>
      <c r="B22" t="s">
        <v>41</v>
      </c>
      <c r="C22" t="s">
        <v>43</v>
      </c>
      <c r="D22">
        <v>70000</v>
      </c>
      <c r="E22">
        <v>2</v>
      </c>
      <c r="F22" t="s">
        <v>30</v>
      </c>
      <c r="G22" t="s">
        <v>23</v>
      </c>
      <c r="H22" t="s">
        <v>17</v>
      </c>
      <c r="I22">
        <v>2</v>
      </c>
      <c r="J22" t="s">
        <v>26</v>
      </c>
      <c r="K22" t="s">
        <v>27</v>
      </c>
      <c r="L22">
        <v>49</v>
      </c>
      <c r="M22" t="s">
        <v>44</v>
      </c>
      <c r="N22" t="s">
        <v>17</v>
      </c>
    </row>
    <row r="23" spans="1:14">
      <c r="A23">
        <v>27494</v>
      </c>
      <c r="B23" t="s">
        <v>41</v>
      </c>
      <c r="C23" t="s">
        <v>43</v>
      </c>
      <c r="D23">
        <v>40000</v>
      </c>
      <c r="E23">
        <v>2</v>
      </c>
      <c r="F23" t="s">
        <v>21</v>
      </c>
      <c r="G23" t="s">
        <v>16</v>
      </c>
      <c r="H23" t="s">
        <v>20</v>
      </c>
      <c r="I23">
        <v>2</v>
      </c>
      <c r="J23" t="s">
        <v>29</v>
      </c>
      <c r="K23" t="s">
        <v>27</v>
      </c>
      <c r="L23">
        <v>53</v>
      </c>
      <c r="M23" t="s">
        <v>44</v>
      </c>
      <c r="N23" t="s">
        <v>17</v>
      </c>
    </row>
    <row r="24" spans="1:14">
      <c r="A24">
        <v>26829</v>
      </c>
      <c r="B24" t="s">
        <v>38</v>
      </c>
      <c r="C24" t="s">
        <v>43</v>
      </c>
      <c r="D24">
        <v>40000</v>
      </c>
      <c r="E24">
        <v>0</v>
      </c>
      <c r="F24" t="s">
        <v>15</v>
      </c>
      <c r="G24" t="s">
        <v>22</v>
      </c>
      <c r="H24" t="s">
        <v>17</v>
      </c>
      <c r="I24">
        <v>0</v>
      </c>
      <c r="J24" t="s">
        <v>18</v>
      </c>
      <c r="K24" t="s">
        <v>19</v>
      </c>
      <c r="L24">
        <v>38</v>
      </c>
      <c r="M24" t="s">
        <v>44</v>
      </c>
      <c r="N24" t="s">
        <v>17</v>
      </c>
    </row>
    <row r="25" spans="1:14">
      <c r="A25">
        <v>21006</v>
      </c>
      <c r="B25" t="s">
        <v>41</v>
      </c>
      <c r="C25" t="s">
        <v>43</v>
      </c>
      <c r="D25">
        <v>30000</v>
      </c>
      <c r="E25">
        <v>1</v>
      </c>
      <c r="F25" t="s">
        <v>21</v>
      </c>
      <c r="G25" t="s">
        <v>28</v>
      </c>
      <c r="H25" t="s">
        <v>20</v>
      </c>
      <c r="I25">
        <v>0</v>
      </c>
      <c r="J25" t="s">
        <v>18</v>
      </c>
      <c r="K25" t="s">
        <v>19</v>
      </c>
      <c r="L25">
        <v>46</v>
      </c>
      <c r="M25" t="s">
        <v>44</v>
      </c>
      <c r="N25" t="s">
        <v>17</v>
      </c>
    </row>
    <row r="26" spans="1:14">
      <c r="A26">
        <v>29191</v>
      </c>
      <c r="B26" t="s">
        <v>41</v>
      </c>
      <c r="C26" t="s">
        <v>43</v>
      </c>
      <c r="D26">
        <v>130000</v>
      </c>
      <c r="E26">
        <v>1</v>
      </c>
      <c r="F26" t="s">
        <v>34</v>
      </c>
      <c r="G26" t="s">
        <v>31</v>
      </c>
      <c r="H26" t="s">
        <v>20</v>
      </c>
      <c r="I26">
        <v>1</v>
      </c>
      <c r="J26" t="s">
        <v>18</v>
      </c>
      <c r="K26" t="s">
        <v>27</v>
      </c>
      <c r="L26">
        <v>36</v>
      </c>
      <c r="M26" t="s">
        <v>44</v>
      </c>
      <c r="N26" t="s">
        <v>17</v>
      </c>
    </row>
    <row r="27" spans="1:14">
      <c r="A27">
        <v>24065</v>
      </c>
      <c r="B27" t="s">
        <v>41</v>
      </c>
      <c r="C27" t="s">
        <v>43</v>
      </c>
      <c r="D27">
        <v>20000</v>
      </c>
      <c r="E27">
        <v>0</v>
      </c>
      <c r="F27" t="s">
        <v>30</v>
      </c>
      <c r="G27" t="s">
        <v>28</v>
      </c>
      <c r="H27" t="s">
        <v>17</v>
      </c>
      <c r="I27">
        <v>0</v>
      </c>
      <c r="J27" t="s">
        <v>18</v>
      </c>
      <c r="K27" t="s">
        <v>19</v>
      </c>
      <c r="L27">
        <v>40</v>
      </c>
      <c r="M27" t="s">
        <v>44</v>
      </c>
      <c r="N27" t="s">
        <v>17</v>
      </c>
    </row>
    <row r="28" spans="1:14">
      <c r="A28">
        <v>22988</v>
      </c>
      <c r="B28" t="s">
        <v>38</v>
      </c>
      <c r="C28" t="s">
        <v>43</v>
      </c>
      <c r="D28">
        <v>40000</v>
      </c>
      <c r="E28">
        <v>2</v>
      </c>
      <c r="F28" t="s">
        <v>15</v>
      </c>
      <c r="G28" t="s">
        <v>31</v>
      </c>
      <c r="H28" t="s">
        <v>17</v>
      </c>
      <c r="I28">
        <v>2</v>
      </c>
      <c r="J28" t="s">
        <v>26</v>
      </c>
      <c r="K28" t="s">
        <v>27</v>
      </c>
      <c r="L28">
        <v>66</v>
      </c>
      <c r="M28" t="s">
        <v>45</v>
      </c>
      <c r="N28" t="s">
        <v>17</v>
      </c>
    </row>
    <row r="29" spans="1:14">
      <c r="A29">
        <v>27775</v>
      </c>
      <c r="B29" t="s">
        <v>41</v>
      </c>
      <c r="C29" t="s">
        <v>43</v>
      </c>
      <c r="D29">
        <v>40000</v>
      </c>
      <c r="E29">
        <v>0</v>
      </c>
      <c r="F29" t="s">
        <v>15</v>
      </c>
      <c r="G29" t="s">
        <v>22</v>
      </c>
      <c r="H29" t="s">
        <v>20</v>
      </c>
      <c r="I29">
        <v>0</v>
      </c>
      <c r="J29" t="s">
        <v>18</v>
      </c>
      <c r="K29" t="s">
        <v>19</v>
      </c>
      <c r="L29">
        <v>38</v>
      </c>
      <c r="M29" t="s">
        <v>44</v>
      </c>
      <c r="N29" t="s">
        <v>17</v>
      </c>
    </row>
    <row r="30" spans="1:14">
      <c r="A30">
        <v>28683</v>
      </c>
      <c r="B30" t="s">
        <v>41</v>
      </c>
      <c r="C30" t="s">
        <v>43</v>
      </c>
      <c r="D30">
        <v>10000</v>
      </c>
      <c r="E30">
        <v>1</v>
      </c>
      <c r="F30" t="s">
        <v>30</v>
      </c>
      <c r="G30" t="s">
        <v>28</v>
      </c>
      <c r="H30" t="s">
        <v>20</v>
      </c>
      <c r="I30">
        <v>1</v>
      </c>
      <c r="J30" t="s">
        <v>26</v>
      </c>
      <c r="K30" t="s">
        <v>19</v>
      </c>
      <c r="L30">
        <v>35</v>
      </c>
      <c r="M30" t="s">
        <v>44</v>
      </c>
      <c r="N30" t="s">
        <v>17</v>
      </c>
    </row>
    <row r="31" spans="1:14">
      <c r="A31">
        <v>24273</v>
      </c>
      <c r="B31" t="s">
        <v>38</v>
      </c>
      <c r="C31" t="s">
        <v>43</v>
      </c>
      <c r="D31">
        <v>20000</v>
      </c>
      <c r="E31">
        <v>2</v>
      </c>
      <c r="F31" t="s">
        <v>32</v>
      </c>
      <c r="G31" t="s">
        <v>22</v>
      </c>
      <c r="H31" t="s">
        <v>17</v>
      </c>
      <c r="I31">
        <v>2</v>
      </c>
      <c r="J31" t="s">
        <v>26</v>
      </c>
      <c r="K31" t="s">
        <v>27</v>
      </c>
      <c r="L31">
        <v>55</v>
      </c>
      <c r="M31" t="s">
        <v>44</v>
      </c>
      <c r="N31" t="s">
        <v>17</v>
      </c>
    </row>
    <row r="32" spans="1:14">
      <c r="A32">
        <v>26547</v>
      </c>
      <c r="B32" t="s">
        <v>41</v>
      </c>
      <c r="C32" t="s">
        <v>43</v>
      </c>
      <c r="D32">
        <v>30000</v>
      </c>
      <c r="E32">
        <v>2</v>
      </c>
      <c r="F32" t="s">
        <v>21</v>
      </c>
      <c r="G32" t="s">
        <v>22</v>
      </c>
      <c r="H32" t="s">
        <v>20</v>
      </c>
      <c r="I32">
        <v>2</v>
      </c>
      <c r="J32" t="s">
        <v>26</v>
      </c>
      <c r="K32" t="s">
        <v>27</v>
      </c>
      <c r="L32">
        <v>60</v>
      </c>
      <c r="M32" t="s">
        <v>45</v>
      </c>
      <c r="N32" t="s">
        <v>17</v>
      </c>
    </row>
    <row r="33" spans="1:14">
      <c r="A33">
        <v>23993</v>
      </c>
      <c r="B33" t="s">
        <v>41</v>
      </c>
      <c r="C33" t="s">
        <v>43</v>
      </c>
      <c r="D3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46</v>
      </c>
      <c r="N33" t="s">
        <v>17</v>
      </c>
    </row>
    <row r="34" spans="1:14">
      <c r="A34">
        <v>19475</v>
      </c>
      <c r="B34" t="s">
        <v>38</v>
      </c>
      <c r="C34" t="s">
        <v>43</v>
      </c>
      <c r="D34">
        <v>40000</v>
      </c>
      <c r="E34">
        <v>0</v>
      </c>
      <c r="F34" t="s">
        <v>15</v>
      </c>
      <c r="G34" t="s">
        <v>23</v>
      </c>
      <c r="H34" t="s">
        <v>20</v>
      </c>
      <c r="I34">
        <v>0</v>
      </c>
      <c r="J34" t="s">
        <v>18</v>
      </c>
      <c r="K34" t="s">
        <v>19</v>
      </c>
      <c r="L34">
        <v>40</v>
      </c>
      <c r="M34" t="s">
        <v>44</v>
      </c>
      <c r="N34" t="s">
        <v>17</v>
      </c>
    </row>
    <row r="35" spans="1:14">
      <c r="A35">
        <v>14798</v>
      </c>
      <c r="B35" t="s">
        <v>41</v>
      </c>
      <c r="C35" t="s">
        <v>43</v>
      </c>
      <c r="D35">
        <v>10000</v>
      </c>
      <c r="E35">
        <v>4</v>
      </c>
      <c r="F35" t="s">
        <v>32</v>
      </c>
      <c r="G35" t="s">
        <v>28</v>
      </c>
      <c r="H35" t="s">
        <v>17</v>
      </c>
      <c r="I35">
        <v>2</v>
      </c>
      <c r="J35" t="s">
        <v>18</v>
      </c>
      <c r="K35" t="s">
        <v>19</v>
      </c>
      <c r="L35">
        <v>41</v>
      </c>
      <c r="M35" t="s">
        <v>44</v>
      </c>
      <c r="N35" t="s">
        <v>17</v>
      </c>
    </row>
    <row r="36" spans="1:14">
      <c r="A36">
        <v>25605</v>
      </c>
      <c r="B36" t="s">
        <v>41</v>
      </c>
      <c r="C36" t="s">
        <v>43</v>
      </c>
      <c r="D36">
        <v>20000</v>
      </c>
      <c r="E36">
        <v>2</v>
      </c>
      <c r="F36" t="s">
        <v>21</v>
      </c>
      <c r="G36" t="s">
        <v>28</v>
      </c>
      <c r="H36" t="s">
        <v>20</v>
      </c>
      <c r="I36">
        <v>1</v>
      </c>
      <c r="J36" t="s">
        <v>18</v>
      </c>
      <c r="K36" t="s">
        <v>19</v>
      </c>
      <c r="L36">
        <v>54</v>
      </c>
      <c r="M36" t="s">
        <v>44</v>
      </c>
      <c r="N36" t="s">
        <v>17</v>
      </c>
    </row>
    <row r="37" spans="1:14">
      <c r="A37">
        <v>21980</v>
      </c>
      <c r="B37" t="s">
        <v>41</v>
      </c>
      <c r="C37" t="s">
        <v>43</v>
      </c>
      <c r="D37">
        <v>60000</v>
      </c>
      <c r="E37">
        <v>1</v>
      </c>
      <c r="F37" t="s">
        <v>15</v>
      </c>
      <c r="G37" t="s">
        <v>23</v>
      </c>
      <c r="H37" t="s">
        <v>17</v>
      </c>
      <c r="I37">
        <v>1</v>
      </c>
      <c r="J37" t="s">
        <v>26</v>
      </c>
      <c r="K37" t="s">
        <v>27</v>
      </c>
      <c r="L37">
        <v>44</v>
      </c>
      <c r="M37" t="s">
        <v>44</v>
      </c>
      <c r="N37" t="s">
        <v>17</v>
      </c>
    </row>
    <row r="38" spans="1:14">
      <c r="A38">
        <v>25460</v>
      </c>
      <c r="B38" t="s">
        <v>38</v>
      </c>
      <c r="C38" t="s">
        <v>43</v>
      </c>
      <c r="D38">
        <v>20000</v>
      </c>
      <c r="E38">
        <v>2</v>
      </c>
      <c r="F38" t="s">
        <v>30</v>
      </c>
      <c r="G38" t="s">
        <v>28</v>
      </c>
      <c r="H38" t="s">
        <v>17</v>
      </c>
      <c r="I38">
        <v>0</v>
      </c>
      <c r="J38" t="s">
        <v>18</v>
      </c>
      <c r="K38" t="s">
        <v>19</v>
      </c>
      <c r="L38">
        <v>40</v>
      </c>
      <c r="M38" t="s">
        <v>44</v>
      </c>
      <c r="N38" t="s">
        <v>17</v>
      </c>
    </row>
    <row r="39" spans="1:14">
      <c r="A39">
        <v>29181</v>
      </c>
      <c r="B39" t="s">
        <v>41</v>
      </c>
      <c r="C39" t="s">
        <v>43</v>
      </c>
      <c r="D39">
        <v>60000</v>
      </c>
      <c r="E39">
        <v>2</v>
      </c>
      <c r="F39" t="s">
        <v>15</v>
      </c>
      <c r="G39" t="s">
        <v>23</v>
      </c>
      <c r="H39" t="s">
        <v>20</v>
      </c>
      <c r="I39">
        <v>1</v>
      </c>
      <c r="J39" t="s">
        <v>18</v>
      </c>
      <c r="K39" t="s">
        <v>27</v>
      </c>
      <c r="L39">
        <v>38</v>
      </c>
      <c r="M39" t="s">
        <v>44</v>
      </c>
      <c r="N39" t="s">
        <v>17</v>
      </c>
    </row>
    <row r="40" spans="1:14">
      <c r="A40">
        <v>17203</v>
      </c>
      <c r="B40" t="s">
        <v>38</v>
      </c>
      <c r="C40" t="s">
        <v>43</v>
      </c>
      <c r="D40">
        <v>130000</v>
      </c>
      <c r="E40">
        <v>4</v>
      </c>
      <c r="F40" t="s">
        <v>21</v>
      </c>
      <c r="G40" t="s">
        <v>23</v>
      </c>
      <c r="H40" t="s">
        <v>17</v>
      </c>
      <c r="I40">
        <v>4</v>
      </c>
      <c r="J40" t="s">
        <v>26</v>
      </c>
      <c r="K40" t="s">
        <v>19</v>
      </c>
      <c r="L40">
        <v>61</v>
      </c>
      <c r="M40" t="s">
        <v>45</v>
      </c>
      <c r="N40" t="s">
        <v>17</v>
      </c>
    </row>
    <row r="41" spans="1:14">
      <c r="A41">
        <v>17504</v>
      </c>
      <c r="B41" t="s">
        <v>41</v>
      </c>
      <c r="C41" t="s">
        <v>43</v>
      </c>
      <c r="D41">
        <v>80000</v>
      </c>
      <c r="E41">
        <v>2</v>
      </c>
      <c r="F41" t="s">
        <v>21</v>
      </c>
      <c r="G41" t="s">
        <v>16</v>
      </c>
      <c r="H41" t="s">
        <v>17</v>
      </c>
      <c r="I41">
        <v>2</v>
      </c>
      <c r="J41" t="s">
        <v>26</v>
      </c>
      <c r="K41" t="s">
        <v>27</v>
      </c>
      <c r="L41">
        <v>52</v>
      </c>
      <c r="M41" t="s">
        <v>44</v>
      </c>
      <c r="N41" t="s">
        <v>17</v>
      </c>
    </row>
    <row r="42" spans="1:14">
      <c r="A42">
        <v>12253</v>
      </c>
      <c r="B42" t="s">
        <v>41</v>
      </c>
      <c r="C42" t="s">
        <v>43</v>
      </c>
      <c r="D42">
        <v>20000</v>
      </c>
      <c r="E42">
        <v>0</v>
      </c>
      <c r="F42" t="s">
        <v>21</v>
      </c>
      <c r="G42" t="s">
        <v>28</v>
      </c>
      <c r="H42" t="s">
        <v>17</v>
      </c>
      <c r="I42">
        <v>0</v>
      </c>
      <c r="J42" t="s">
        <v>18</v>
      </c>
      <c r="K42" t="s">
        <v>27</v>
      </c>
      <c r="L42">
        <v>29</v>
      </c>
      <c r="M42" t="s">
        <v>46</v>
      </c>
      <c r="N42" t="s">
        <v>17</v>
      </c>
    </row>
    <row r="43" spans="1:14">
      <c r="A43">
        <v>12212</v>
      </c>
      <c r="B43" t="s">
        <v>38</v>
      </c>
      <c r="C43" t="s">
        <v>43</v>
      </c>
      <c r="D43">
        <v>10000</v>
      </c>
      <c r="E43">
        <v>0</v>
      </c>
      <c r="F43" t="s">
        <v>34</v>
      </c>
      <c r="G43" t="s">
        <v>28</v>
      </c>
      <c r="H43" t="s">
        <v>17</v>
      </c>
      <c r="I43">
        <v>0</v>
      </c>
      <c r="J43" t="s">
        <v>18</v>
      </c>
      <c r="K43" t="s">
        <v>19</v>
      </c>
      <c r="L43">
        <v>37</v>
      </c>
      <c r="M43" t="s">
        <v>44</v>
      </c>
      <c r="N43" t="s">
        <v>17</v>
      </c>
    </row>
    <row r="44" spans="1:14">
      <c r="A44">
        <v>22170</v>
      </c>
      <c r="B44" t="s">
        <v>38</v>
      </c>
      <c r="C44" t="s">
        <v>43</v>
      </c>
      <c r="D44">
        <v>30000</v>
      </c>
      <c r="E44">
        <v>3</v>
      </c>
      <c r="F44" t="s">
        <v>21</v>
      </c>
      <c r="G44" t="s">
        <v>22</v>
      </c>
      <c r="H44" t="s">
        <v>20</v>
      </c>
      <c r="I44">
        <v>2</v>
      </c>
      <c r="J44" t="s">
        <v>29</v>
      </c>
      <c r="K44" t="s">
        <v>27</v>
      </c>
      <c r="L44">
        <v>55</v>
      </c>
      <c r="M44" t="s">
        <v>44</v>
      </c>
      <c r="N44" t="s">
        <v>17</v>
      </c>
    </row>
    <row r="45" spans="1:14">
      <c r="A45">
        <v>15799</v>
      </c>
      <c r="B45" t="s">
        <v>38</v>
      </c>
      <c r="C45" t="s">
        <v>43</v>
      </c>
      <c r="D45">
        <v>90000</v>
      </c>
      <c r="E45">
        <v>1</v>
      </c>
      <c r="F45" t="s">
        <v>15</v>
      </c>
      <c r="G45" t="s">
        <v>23</v>
      </c>
      <c r="H45" t="s">
        <v>17</v>
      </c>
      <c r="I45">
        <v>1</v>
      </c>
      <c r="J45" t="s">
        <v>24</v>
      </c>
      <c r="K45" t="s">
        <v>27</v>
      </c>
      <c r="L45">
        <v>47</v>
      </c>
      <c r="M45" t="s">
        <v>44</v>
      </c>
      <c r="N45" t="s">
        <v>17</v>
      </c>
    </row>
    <row r="46" spans="1:14">
      <c r="A46">
        <v>11047</v>
      </c>
      <c r="B46" t="s">
        <v>38</v>
      </c>
      <c r="C46" t="s">
        <v>43</v>
      </c>
      <c r="D46">
        <v>30000</v>
      </c>
      <c r="E46">
        <v>3</v>
      </c>
      <c r="F46" t="s">
        <v>30</v>
      </c>
      <c r="G46" t="s">
        <v>16</v>
      </c>
      <c r="H46" t="s">
        <v>20</v>
      </c>
      <c r="I46">
        <v>2</v>
      </c>
      <c r="J46" t="s">
        <v>29</v>
      </c>
      <c r="K46" t="s">
        <v>27</v>
      </c>
      <c r="L46">
        <v>56</v>
      </c>
      <c r="M46" t="s">
        <v>45</v>
      </c>
      <c r="N46" t="s">
        <v>17</v>
      </c>
    </row>
    <row r="47" spans="1:14">
      <c r="A47">
        <v>20606</v>
      </c>
      <c r="B47" t="s">
        <v>38</v>
      </c>
      <c r="C47" t="s">
        <v>43</v>
      </c>
      <c r="D47">
        <v>70000</v>
      </c>
      <c r="E47">
        <v>0</v>
      </c>
      <c r="F47" t="s">
        <v>15</v>
      </c>
      <c r="G47" t="s">
        <v>23</v>
      </c>
      <c r="H47" t="s">
        <v>17</v>
      </c>
      <c r="I47">
        <v>4</v>
      </c>
      <c r="J47" t="s">
        <v>33</v>
      </c>
      <c r="K47" t="s">
        <v>27</v>
      </c>
      <c r="L47">
        <v>32</v>
      </c>
      <c r="M47" t="s">
        <v>44</v>
      </c>
      <c r="N47" t="s">
        <v>17</v>
      </c>
    </row>
    <row r="48" spans="1:14">
      <c r="A48">
        <v>15214</v>
      </c>
      <c r="B48" t="s">
        <v>41</v>
      </c>
      <c r="C48" t="s">
        <v>43</v>
      </c>
      <c r="D48">
        <v>100000</v>
      </c>
      <c r="E48">
        <v>0</v>
      </c>
      <c r="F48" t="s">
        <v>34</v>
      </c>
      <c r="G48" t="s">
        <v>31</v>
      </c>
      <c r="H48" t="s">
        <v>20</v>
      </c>
      <c r="I48">
        <v>1</v>
      </c>
      <c r="J48" t="s">
        <v>29</v>
      </c>
      <c r="K48" t="s">
        <v>27</v>
      </c>
      <c r="L48">
        <v>39</v>
      </c>
      <c r="M48" t="s">
        <v>44</v>
      </c>
      <c r="N48" t="s">
        <v>17</v>
      </c>
    </row>
    <row r="49" spans="1:14">
      <c r="A49">
        <v>29298</v>
      </c>
      <c r="B49" t="s">
        <v>41</v>
      </c>
      <c r="C49" t="s">
        <v>43</v>
      </c>
      <c r="D49">
        <v>60000</v>
      </c>
      <c r="E49">
        <v>1</v>
      </c>
      <c r="F49" t="s">
        <v>21</v>
      </c>
      <c r="G49" t="s">
        <v>16</v>
      </c>
      <c r="H49" t="s">
        <v>17</v>
      </c>
      <c r="I49">
        <v>1</v>
      </c>
      <c r="J49" t="s">
        <v>26</v>
      </c>
      <c r="K49" t="s">
        <v>27</v>
      </c>
      <c r="L49">
        <v>46</v>
      </c>
      <c r="M49" t="s">
        <v>44</v>
      </c>
      <c r="N49" t="s">
        <v>17</v>
      </c>
    </row>
    <row r="50" spans="1:14">
      <c r="A50">
        <v>28729</v>
      </c>
      <c r="B50" t="s">
        <v>41</v>
      </c>
      <c r="C50" t="s">
        <v>43</v>
      </c>
      <c r="D50">
        <v>20000</v>
      </c>
      <c r="E50">
        <v>0</v>
      </c>
      <c r="F50" t="s">
        <v>32</v>
      </c>
      <c r="G50" t="s">
        <v>28</v>
      </c>
      <c r="H50" t="s">
        <v>17</v>
      </c>
      <c r="I50">
        <v>2</v>
      </c>
      <c r="J50" t="s">
        <v>29</v>
      </c>
      <c r="K50" t="s">
        <v>19</v>
      </c>
      <c r="L50">
        <v>26</v>
      </c>
      <c r="M50" t="s">
        <v>46</v>
      </c>
      <c r="N50" t="s">
        <v>17</v>
      </c>
    </row>
    <row r="51" spans="1:14">
      <c r="A51">
        <v>22633</v>
      </c>
      <c r="B51" t="s">
        <v>41</v>
      </c>
      <c r="C51" t="s">
        <v>43</v>
      </c>
      <c r="D51">
        <v>40000</v>
      </c>
      <c r="E51">
        <v>0</v>
      </c>
      <c r="F51" t="s">
        <v>34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37</v>
      </c>
      <c r="M51" t="s">
        <v>44</v>
      </c>
      <c r="N51" t="s">
        <v>17</v>
      </c>
    </row>
    <row r="52" spans="1:14">
      <c r="A52">
        <v>25649</v>
      </c>
      <c r="B52" t="s">
        <v>41</v>
      </c>
      <c r="C52" t="s">
        <v>43</v>
      </c>
      <c r="D52">
        <v>30000</v>
      </c>
      <c r="E52">
        <v>3</v>
      </c>
      <c r="F52" t="s">
        <v>21</v>
      </c>
      <c r="G52" t="s">
        <v>22</v>
      </c>
      <c r="H52" t="s">
        <v>17</v>
      </c>
      <c r="I52">
        <v>0</v>
      </c>
      <c r="J52" t="s">
        <v>18</v>
      </c>
      <c r="K52" t="s">
        <v>19</v>
      </c>
      <c r="L52">
        <v>42</v>
      </c>
      <c r="M52" t="s">
        <v>44</v>
      </c>
      <c r="N52" t="s">
        <v>17</v>
      </c>
    </row>
    <row r="53" spans="1:14">
      <c r="A53">
        <v>19299</v>
      </c>
      <c r="B53" t="s">
        <v>38</v>
      </c>
      <c r="C53" t="s">
        <v>43</v>
      </c>
      <c r="D53">
        <v>50000</v>
      </c>
      <c r="E53">
        <v>0</v>
      </c>
      <c r="F53" t="s">
        <v>34</v>
      </c>
      <c r="G53" t="s">
        <v>16</v>
      </c>
      <c r="H53" t="s">
        <v>17</v>
      </c>
      <c r="I53">
        <v>0</v>
      </c>
      <c r="J53" t="s">
        <v>18</v>
      </c>
      <c r="K53" t="s">
        <v>19</v>
      </c>
      <c r="L53">
        <v>36</v>
      </c>
      <c r="M53" t="s">
        <v>44</v>
      </c>
      <c r="N53" t="s">
        <v>17</v>
      </c>
    </row>
    <row r="54" spans="1:14">
      <c r="A54">
        <v>12833</v>
      </c>
      <c r="B54" t="s">
        <v>41</v>
      </c>
      <c r="C54" t="s">
        <v>43</v>
      </c>
      <c r="D54">
        <v>20000</v>
      </c>
      <c r="E54">
        <v>3</v>
      </c>
      <c r="F54" t="s">
        <v>30</v>
      </c>
      <c r="G54" t="s">
        <v>28</v>
      </c>
      <c r="H54" t="s">
        <v>17</v>
      </c>
      <c r="I54">
        <v>1</v>
      </c>
      <c r="J54" t="s">
        <v>18</v>
      </c>
      <c r="K54" t="s">
        <v>19</v>
      </c>
      <c r="L54">
        <v>42</v>
      </c>
      <c r="M54" t="s">
        <v>44</v>
      </c>
      <c r="N54" t="s">
        <v>17</v>
      </c>
    </row>
    <row r="55" spans="1:14">
      <c r="A55">
        <v>14777</v>
      </c>
      <c r="B55" t="s">
        <v>38</v>
      </c>
      <c r="C55" t="s">
        <v>43</v>
      </c>
      <c r="D55">
        <v>40000</v>
      </c>
      <c r="E55">
        <v>0</v>
      </c>
      <c r="F55" t="s">
        <v>15</v>
      </c>
      <c r="G55" t="s">
        <v>22</v>
      </c>
      <c r="H55" t="s">
        <v>17</v>
      </c>
      <c r="I55">
        <v>0</v>
      </c>
      <c r="J55" t="s">
        <v>18</v>
      </c>
      <c r="K55" t="s">
        <v>19</v>
      </c>
      <c r="L55">
        <v>38</v>
      </c>
      <c r="M55" t="s">
        <v>44</v>
      </c>
      <c r="N55" t="s">
        <v>17</v>
      </c>
    </row>
    <row r="56" spans="1:14">
      <c r="A56">
        <v>11340</v>
      </c>
      <c r="B56" t="s">
        <v>38</v>
      </c>
      <c r="C56" t="s">
        <v>43</v>
      </c>
      <c r="D56">
        <v>10000</v>
      </c>
      <c r="E56">
        <v>1</v>
      </c>
      <c r="F56" t="s">
        <v>34</v>
      </c>
      <c r="G56" t="s">
        <v>22</v>
      </c>
      <c r="H56" t="s">
        <v>17</v>
      </c>
      <c r="I56">
        <v>0</v>
      </c>
      <c r="J56" t="s">
        <v>18</v>
      </c>
      <c r="K56" t="s">
        <v>19</v>
      </c>
      <c r="L56">
        <v>70</v>
      </c>
      <c r="M56" t="s">
        <v>45</v>
      </c>
      <c r="N56" t="s">
        <v>17</v>
      </c>
    </row>
    <row r="57" spans="1:14">
      <c r="A57">
        <v>25693</v>
      </c>
      <c r="B57" t="s">
        <v>41</v>
      </c>
      <c r="C57" t="s">
        <v>43</v>
      </c>
      <c r="D57">
        <v>30000</v>
      </c>
      <c r="E57">
        <v>5</v>
      </c>
      <c r="F57" t="s">
        <v>34</v>
      </c>
      <c r="G57" t="s">
        <v>22</v>
      </c>
      <c r="H57" t="s">
        <v>17</v>
      </c>
      <c r="I57">
        <v>0</v>
      </c>
      <c r="J57" t="s">
        <v>18</v>
      </c>
      <c r="K57" t="s">
        <v>19</v>
      </c>
      <c r="L57">
        <v>44</v>
      </c>
      <c r="M57" t="s">
        <v>44</v>
      </c>
      <c r="N57" t="s">
        <v>17</v>
      </c>
    </row>
    <row r="58" spans="1:14">
      <c r="A58">
        <v>25555</v>
      </c>
      <c r="B58" t="s">
        <v>38</v>
      </c>
      <c r="C58" t="s">
        <v>43</v>
      </c>
      <c r="D58">
        <v>10000</v>
      </c>
      <c r="E58">
        <v>0</v>
      </c>
      <c r="F58" t="s">
        <v>21</v>
      </c>
      <c r="G58" t="s">
        <v>28</v>
      </c>
      <c r="H58" t="s">
        <v>20</v>
      </c>
      <c r="I58">
        <v>1</v>
      </c>
      <c r="J58" t="s">
        <v>18</v>
      </c>
      <c r="K58" t="s">
        <v>27</v>
      </c>
      <c r="L58">
        <v>26</v>
      </c>
      <c r="M58" t="s">
        <v>46</v>
      </c>
      <c r="N58" t="s">
        <v>17</v>
      </c>
    </row>
    <row r="59" spans="1:14">
      <c r="A59">
        <v>20060</v>
      </c>
      <c r="B59" t="s">
        <v>41</v>
      </c>
      <c r="C59" t="s">
        <v>43</v>
      </c>
      <c r="D59">
        <v>30000</v>
      </c>
      <c r="E59">
        <v>0</v>
      </c>
      <c r="F59" t="s">
        <v>30</v>
      </c>
      <c r="G59" t="s">
        <v>28</v>
      </c>
      <c r="H59" t="s">
        <v>20</v>
      </c>
      <c r="I59">
        <v>1</v>
      </c>
      <c r="J59" t="s">
        <v>24</v>
      </c>
      <c r="K59" t="s">
        <v>19</v>
      </c>
      <c r="L59">
        <v>34</v>
      </c>
      <c r="M59" t="s">
        <v>44</v>
      </c>
      <c r="N59" t="s">
        <v>17</v>
      </c>
    </row>
    <row r="60" spans="1:14">
      <c r="A60">
        <v>19057</v>
      </c>
      <c r="B60" t="s">
        <v>38</v>
      </c>
      <c r="C60" t="s">
        <v>43</v>
      </c>
      <c r="D60">
        <v>120000</v>
      </c>
      <c r="E60">
        <v>3</v>
      </c>
      <c r="F60" t="s">
        <v>15</v>
      </c>
      <c r="G60" t="s">
        <v>31</v>
      </c>
      <c r="H60" t="s">
        <v>20</v>
      </c>
      <c r="I60">
        <v>2</v>
      </c>
      <c r="J60" t="s">
        <v>33</v>
      </c>
      <c r="K60" t="s">
        <v>19</v>
      </c>
      <c r="L60">
        <v>52</v>
      </c>
      <c r="M60" t="s">
        <v>44</v>
      </c>
      <c r="N60" t="s">
        <v>17</v>
      </c>
    </row>
    <row r="61" spans="1:14">
      <c r="A61">
        <v>11249</v>
      </c>
      <c r="B61" t="s">
        <v>38</v>
      </c>
      <c r="C61" t="s">
        <v>43</v>
      </c>
      <c r="D61">
        <v>130000</v>
      </c>
      <c r="E61">
        <v>3</v>
      </c>
      <c r="F61" t="s">
        <v>21</v>
      </c>
      <c r="G61" t="s">
        <v>23</v>
      </c>
      <c r="H61" t="s">
        <v>17</v>
      </c>
      <c r="I61">
        <v>3</v>
      </c>
      <c r="J61" t="s">
        <v>18</v>
      </c>
      <c r="K61" t="s">
        <v>19</v>
      </c>
      <c r="L61">
        <v>51</v>
      </c>
      <c r="M61" t="s">
        <v>44</v>
      </c>
      <c r="N61" t="s">
        <v>17</v>
      </c>
    </row>
    <row r="62" spans="1:14">
      <c r="A62">
        <v>21568</v>
      </c>
      <c r="B62" t="s">
        <v>38</v>
      </c>
      <c r="C62" t="s">
        <v>43</v>
      </c>
      <c r="D62">
        <v>100000</v>
      </c>
      <c r="E62">
        <v>0</v>
      </c>
      <c r="F62" t="s">
        <v>30</v>
      </c>
      <c r="G62" t="s">
        <v>31</v>
      </c>
      <c r="H62" t="s">
        <v>17</v>
      </c>
      <c r="I62">
        <v>4</v>
      </c>
      <c r="J62" t="s">
        <v>33</v>
      </c>
      <c r="K62" t="s">
        <v>27</v>
      </c>
      <c r="L62">
        <v>34</v>
      </c>
      <c r="M62" t="s">
        <v>44</v>
      </c>
      <c r="N62" t="s">
        <v>17</v>
      </c>
    </row>
    <row r="63" spans="1:14">
      <c r="A63">
        <v>20839</v>
      </c>
      <c r="B63" t="s">
        <v>41</v>
      </c>
      <c r="C63" t="s">
        <v>43</v>
      </c>
      <c r="D63">
        <v>30000</v>
      </c>
      <c r="E63">
        <v>3</v>
      </c>
      <c r="F63" t="s">
        <v>34</v>
      </c>
      <c r="G63" t="s">
        <v>22</v>
      </c>
      <c r="H63" t="s">
        <v>17</v>
      </c>
      <c r="I63">
        <v>0</v>
      </c>
      <c r="J63" t="s">
        <v>18</v>
      </c>
      <c r="K63" t="s">
        <v>19</v>
      </c>
      <c r="L63">
        <v>47</v>
      </c>
      <c r="M63" t="s">
        <v>44</v>
      </c>
      <c r="N63" t="s">
        <v>17</v>
      </c>
    </row>
    <row r="64" spans="1:14">
      <c r="A64">
        <v>14164</v>
      </c>
      <c r="B64" t="s">
        <v>41</v>
      </c>
      <c r="C64" t="s">
        <v>43</v>
      </c>
      <c r="D64">
        <v>50000</v>
      </c>
      <c r="E64">
        <v>0</v>
      </c>
      <c r="F64" t="s">
        <v>34</v>
      </c>
      <c r="G64" t="s">
        <v>16</v>
      </c>
      <c r="H64" t="s">
        <v>17</v>
      </c>
      <c r="I64">
        <v>0</v>
      </c>
      <c r="J64" t="s">
        <v>18</v>
      </c>
      <c r="K64" t="s">
        <v>19</v>
      </c>
      <c r="L64">
        <v>36</v>
      </c>
      <c r="M64" t="s">
        <v>44</v>
      </c>
      <c r="N64" t="s">
        <v>17</v>
      </c>
    </row>
    <row r="65" spans="1:14">
      <c r="A65">
        <v>26219</v>
      </c>
      <c r="B65" t="s">
        <v>38</v>
      </c>
      <c r="C65" t="s">
        <v>43</v>
      </c>
      <c r="D65">
        <v>40000</v>
      </c>
      <c r="E65">
        <v>1</v>
      </c>
      <c r="F65" t="s">
        <v>15</v>
      </c>
      <c r="G65" t="s">
        <v>16</v>
      </c>
      <c r="H65" t="s">
        <v>17</v>
      </c>
      <c r="I65">
        <v>1</v>
      </c>
      <c r="J65" t="s">
        <v>29</v>
      </c>
      <c r="K65" t="s">
        <v>19</v>
      </c>
      <c r="L65">
        <v>33</v>
      </c>
      <c r="M65" t="s">
        <v>44</v>
      </c>
      <c r="N65" t="s">
        <v>17</v>
      </c>
    </row>
    <row r="66" spans="1:14">
      <c r="A66">
        <v>21039</v>
      </c>
      <c r="B66" t="s">
        <v>41</v>
      </c>
      <c r="C66" t="s">
        <v>43</v>
      </c>
      <c r="D66">
        <v>50000</v>
      </c>
      <c r="E66">
        <v>0</v>
      </c>
      <c r="F66" t="s">
        <v>34</v>
      </c>
      <c r="G66" t="s">
        <v>16</v>
      </c>
      <c r="H66" t="s">
        <v>20</v>
      </c>
      <c r="I66">
        <v>0</v>
      </c>
      <c r="J66" t="s">
        <v>18</v>
      </c>
      <c r="K66" t="s">
        <v>19</v>
      </c>
      <c r="L66">
        <v>37</v>
      </c>
      <c r="M66" t="s">
        <v>44</v>
      </c>
      <c r="N66" t="s">
        <v>17</v>
      </c>
    </row>
    <row r="67" spans="1:14">
      <c r="A67">
        <v>12231</v>
      </c>
      <c r="B67" t="s">
        <v>41</v>
      </c>
      <c r="C67" t="s">
        <v>43</v>
      </c>
      <c r="D67">
        <v>10000</v>
      </c>
      <c r="E67">
        <v>2</v>
      </c>
      <c r="F67" t="s">
        <v>21</v>
      </c>
      <c r="G67" t="s">
        <v>28</v>
      </c>
      <c r="H67" t="s">
        <v>17</v>
      </c>
      <c r="I67">
        <v>0</v>
      </c>
      <c r="J67" t="s">
        <v>18</v>
      </c>
      <c r="K67" t="s">
        <v>19</v>
      </c>
      <c r="L67">
        <v>51</v>
      </c>
      <c r="M67" t="s">
        <v>44</v>
      </c>
      <c r="N67" t="s">
        <v>17</v>
      </c>
    </row>
    <row r="68" spans="1:14">
      <c r="A68">
        <v>12284</v>
      </c>
      <c r="B68" t="s">
        <v>38</v>
      </c>
      <c r="C68" t="s">
        <v>43</v>
      </c>
      <c r="D68">
        <v>30000</v>
      </c>
      <c r="E68">
        <v>0</v>
      </c>
      <c r="F68" t="s">
        <v>15</v>
      </c>
      <c r="G68" t="s">
        <v>22</v>
      </c>
      <c r="H68" t="s">
        <v>20</v>
      </c>
      <c r="I68">
        <v>0</v>
      </c>
      <c r="J68" t="s">
        <v>18</v>
      </c>
      <c r="K68" t="s">
        <v>19</v>
      </c>
      <c r="L68">
        <v>36</v>
      </c>
      <c r="M68" t="s">
        <v>44</v>
      </c>
      <c r="N68" t="s">
        <v>17</v>
      </c>
    </row>
    <row r="69" spans="1:14">
      <c r="A69">
        <v>26654</v>
      </c>
      <c r="B69" t="s">
        <v>38</v>
      </c>
      <c r="C69" t="s">
        <v>43</v>
      </c>
      <c r="D69">
        <v>90000</v>
      </c>
      <c r="E69">
        <v>1</v>
      </c>
      <c r="F69" t="s">
        <v>34</v>
      </c>
      <c r="G69" t="s">
        <v>31</v>
      </c>
      <c r="H69" t="s">
        <v>17</v>
      </c>
      <c r="I69">
        <v>0</v>
      </c>
      <c r="J69" t="s">
        <v>18</v>
      </c>
      <c r="K69" t="s">
        <v>27</v>
      </c>
      <c r="L69">
        <v>37</v>
      </c>
      <c r="M69" t="s">
        <v>44</v>
      </c>
      <c r="N69" t="s">
        <v>17</v>
      </c>
    </row>
    <row r="70" spans="1:14">
      <c r="A70">
        <v>24201</v>
      </c>
      <c r="B70" t="s">
        <v>38</v>
      </c>
      <c r="C70" t="s">
        <v>43</v>
      </c>
      <c r="D70">
        <v>10000</v>
      </c>
      <c r="E70">
        <v>2</v>
      </c>
      <c r="F70" t="s">
        <v>30</v>
      </c>
      <c r="G70" t="s">
        <v>28</v>
      </c>
      <c r="H70" t="s">
        <v>17</v>
      </c>
      <c r="I70">
        <v>0</v>
      </c>
      <c r="J70" t="s">
        <v>18</v>
      </c>
      <c r="K70" t="s">
        <v>19</v>
      </c>
      <c r="L70">
        <v>37</v>
      </c>
      <c r="M70" t="s">
        <v>44</v>
      </c>
      <c r="N70" t="s">
        <v>17</v>
      </c>
    </row>
    <row r="71" spans="1:14">
      <c r="A71">
        <v>24187</v>
      </c>
      <c r="B71" t="s">
        <v>41</v>
      </c>
      <c r="C71" t="s">
        <v>43</v>
      </c>
      <c r="D71">
        <v>30000</v>
      </c>
      <c r="E71">
        <v>3</v>
      </c>
      <c r="F71" t="s">
        <v>34</v>
      </c>
      <c r="G71" t="s">
        <v>22</v>
      </c>
      <c r="H71" t="s">
        <v>20</v>
      </c>
      <c r="I71">
        <v>0</v>
      </c>
      <c r="J71" t="s">
        <v>18</v>
      </c>
      <c r="K71" t="s">
        <v>19</v>
      </c>
      <c r="L71">
        <v>46</v>
      </c>
      <c r="M71" t="s">
        <v>44</v>
      </c>
      <c r="N71" t="s">
        <v>17</v>
      </c>
    </row>
    <row r="72" spans="1:14">
      <c r="A72">
        <v>28319</v>
      </c>
      <c r="B72" t="s">
        <v>41</v>
      </c>
      <c r="C72" t="s">
        <v>43</v>
      </c>
      <c r="D72">
        <v>60000</v>
      </c>
      <c r="E72">
        <v>1</v>
      </c>
      <c r="F72" t="s">
        <v>21</v>
      </c>
      <c r="G72" t="s">
        <v>16</v>
      </c>
      <c r="H72" t="s">
        <v>20</v>
      </c>
      <c r="I72">
        <v>1</v>
      </c>
      <c r="J72" t="s">
        <v>18</v>
      </c>
      <c r="K72" t="s">
        <v>27</v>
      </c>
      <c r="L72">
        <v>46</v>
      </c>
      <c r="M72" t="s">
        <v>44</v>
      </c>
      <c r="N72" t="s">
        <v>17</v>
      </c>
    </row>
    <row r="73" spans="1:14">
      <c r="A73">
        <v>20923</v>
      </c>
      <c r="B73" t="s">
        <v>38</v>
      </c>
      <c r="C73" t="s">
        <v>43</v>
      </c>
      <c r="D73">
        <v>40000</v>
      </c>
      <c r="E73">
        <v>1</v>
      </c>
      <c r="F73" t="s">
        <v>15</v>
      </c>
      <c r="G73" t="s">
        <v>16</v>
      </c>
      <c r="H73" t="s">
        <v>17</v>
      </c>
      <c r="I73">
        <v>0</v>
      </c>
      <c r="J73" t="s">
        <v>18</v>
      </c>
      <c r="K73" t="s">
        <v>19</v>
      </c>
      <c r="L73">
        <v>42</v>
      </c>
      <c r="M73" t="s">
        <v>44</v>
      </c>
      <c r="N73" t="s">
        <v>17</v>
      </c>
    </row>
    <row r="74" spans="1:14">
      <c r="A74">
        <v>11378</v>
      </c>
      <c r="B74" t="s">
        <v>41</v>
      </c>
      <c r="C74" t="s">
        <v>43</v>
      </c>
      <c r="D74">
        <v>10000</v>
      </c>
      <c r="E74">
        <v>1</v>
      </c>
      <c r="F74" t="s">
        <v>30</v>
      </c>
      <c r="G74" t="s">
        <v>28</v>
      </c>
      <c r="H74" t="s">
        <v>20</v>
      </c>
      <c r="I74">
        <v>1</v>
      </c>
      <c r="J74" t="s">
        <v>24</v>
      </c>
      <c r="K74" t="s">
        <v>19</v>
      </c>
      <c r="L74">
        <v>46</v>
      </c>
      <c r="M74" t="s">
        <v>44</v>
      </c>
      <c r="N74" t="s">
        <v>17</v>
      </c>
    </row>
    <row r="75" spans="1:14">
      <c r="A75">
        <v>21557</v>
      </c>
      <c r="B75" t="s">
        <v>41</v>
      </c>
      <c r="C75" t="s">
        <v>43</v>
      </c>
      <c r="D75">
        <v>110000</v>
      </c>
      <c r="E75">
        <v>0</v>
      </c>
      <c r="F75" t="s">
        <v>21</v>
      </c>
      <c r="G75" t="s">
        <v>31</v>
      </c>
      <c r="H75" t="s">
        <v>17</v>
      </c>
      <c r="I75">
        <v>3</v>
      </c>
      <c r="J75" t="s">
        <v>33</v>
      </c>
      <c r="K75" t="s">
        <v>27</v>
      </c>
      <c r="L75">
        <v>32</v>
      </c>
      <c r="M75" t="s">
        <v>44</v>
      </c>
      <c r="N75" t="s">
        <v>17</v>
      </c>
    </row>
    <row r="76" spans="1:14">
      <c r="A76">
        <v>26663</v>
      </c>
      <c r="B76" t="s">
        <v>41</v>
      </c>
      <c r="C76" t="s">
        <v>43</v>
      </c>
      <c r="D76">
        <v>60000</v>
      </c>
      <c r="E76">
        <v>2</v>
      </c>
      <c r="F76" t="s">
        <v>15</v>
      </c>
      <c r="G76" t="s">
        <v>23</v>
      </c>
      <c r="H76" t="s">
        <v>20</v>
      </c>
      <c r="I76">
        <v>1</v>
      </c>
      <c r="J76" t="s">
        <v>18</v>
      </c>
      <c r="K76" t="s">
        <v>27</v>
      </c>
      <c r="L76">
        <v>39</v>
      </c>
      <c r="M76" t="s">
        <v>44</v>
      </c>
      <c r="N76" t="s">
        <v>17</v>
      </c>
    </row>
    <row r="77" spans="1:14">
      <c r="A77">
        <v>14189</v>
      </c>
      <c r="B77" t="s">
        <v>38</v>
      </c>
      <c r="C77" t="s">
        <v>43</v>
      </c>
      <c r="D77">
        <v>90000</v>
      </c>
      <c r="E77">
        <v>4</v>
      </c>
      <c r="F77" t="s">
        <v>30</v>
      </c>
      <c r="G77" t="s">
        <v>23</v>
      </c>
      <c r="H77" t="s">
        <v>20</v>
      </c>
      <c r="I77">
        <v>2</v>
      </c>
      <c r="J77" t="s">
        <v>24</v>
      </c>
      <c r="K77" t="s">
        <v>19</v>
      </c>
      <c r="L77">
        <v>54</v>
      </c>
      <c r="M77" t="s">
        <v>44</v>
      </c>
      <c r="N77" t="s">
        <v>17</v>
      </c>
    </row>
    <row r="78" spans="1:14">
      <c r="A78">
        <v>17926</v>
      </c>
      <c r="B78" t="s">
        <v>41</v>
      </c>
      <c r="C78" t="s">
        <v>43</v>
      </c>
      <c r="D78">
        <v>40000</v>
      </c>
      <c r="E78">
        <v>0</v>
      </c>
      <c r="F78" t="s">
        <v>15</v>
      </c>
      <c r="G78" t="s">
        <v>22</v>
      </c>
      <c r="H78" t="s">
        <v>20</v>
      </c>
      <c r="I78">
        <v>0</v>
      </c>
      <c r="J78" t="s">
        <v>18</v>
      </c>
      <c r="K78" t="s">
        <v>27</v>
      </c>
      <c r="L78">
        <v>28</v>
      </c>
      <c r="M78" t="s">
        <v>46</v>
      </c>
      <c r="N78" t="s">
        <v>17</v>
      </c>
    </row>
    <row r="79" spans="1:14">
      <c r="A79">
        <v>11381</v>
      </c>
      <c r="B79" t="s">
        <v>38</v>
      </c>
      <c r="C79" t="s">
        <v>43</v>
      </c>
      <c r="D79">
        <v>20000</v>
      </c>
      <c r="E79">
        <v>2</v>
      </c>
      <c r="F79" t="s">
        <v>21</v>
      </c>
      <c r="G79" t="s">
        <v>28</v>
      </c>
      <c r="H79" t="s">
        <v>17</v>
      </c>
      <c r="I79">
        <v>1</v>
      </c>
      <c r="J79" t="s">
        <v>24</v>
      </c>
      <c r="K79" t="s">
        <v>19</v>
      </c>
      <c r="L79">
        <v>47</v>
      </c>
      <c r="M79" t="s">
        <v>44</v>
      </c>
      <c r="N79" t="s">
        <v>17</v>
      </c>
    </row>
    <row r="80" spans="1:14">
      <c r="A80">
        <v>16675</v>
      </c>
      <c r="B80" t="s">
        <v>41</v>
      </c>
      <c r="C80" t="s">
        <v>43</v>
      </c>
      <c r="D80">
        <v>160000</v>
      </c>
      <c r="E80">
        <v>0</v>
      </c>
      <c r="F80" t="s">
        <v>34</v>
      </c>
      <c r="G80" t="s">
        <v>31</v>
      </c>
      <c r="H80" t="s">
        <v>20</v>
      </c>
      <c r="I80">
        <v>3</v>
      </c>
      <c r="J80" t="s">
        <v>18</v>
      </c>
      <c r="K80" t="s">
        <v>27</v>
      </c>
      <c r="L80">
        <v>47</v>
      </c>
      <c r="M80" t="s">
        <v>44</v>
      </c>
      <c r="N80" t="s">
        <v>17</v>
      </c>
    </row>
    <row r="81" spans="1:14">
      <c r="A81">
        <v>16410</v>
      </c>
      <c r="B81" t="s">
        <v>41</v>
      </c>
      <c r="C81" t="s">
        <v>43</v>
      </c>
      <c r="D81">
        <v>10000</v>
      </c>
      <c r="E81">
        <v>4</v>
      </c>
      <c r="F81" t="s">
        <v>32</v>
      </c>
      <c r="G81" t="s">
        <v>28</v>
      </c>
      <c r="H81" t="s">
        <v>17</v>
      </c>
      <c r="I81">
        <v>2</v>
      </c>
      <c r="J81" t="s">
        <v>18</v>
      </c>
      <c r="K81" t="s">
        <v>19</v>
      </c>
      <c r="L81">
        <v>41</v>
      </c>
      <c r="M81" t="s">
        <v>44</v>
      </c>
      <c r="N81" t="s">
        <v>17</v>
      </c>
    </row>
    <row r="82" spans="1:14">
      <c r="A82">
        <v>27760</v>
      </c>
      <c r="B82" t="s">
        <v>41</v>
      </c>
      <c r="C82" t="s">
        <v>43</v>
      </c>
      <c r="D82">
        <v>40000</v>
      </c>
      <c r="E82">
        <v>0</v>
      </c>
      <c r="F82" t="s">
        <v>34</v>
      </c>
      <c r="G82" t="s">
        <v>22</v>
      </c>
      <c r="H82" t="s">
        <v>20</v>
      </c>
      <c r="I82">
        <v>0</v>
      </c>
      <c r="J82" t="s">
        <v>18</v>
      </c>
      <c r="K82" t="s">
        <v>19</v>
      </c>
      <c r="L82">
        <v>37</v>
      </c>
      <c r="M82" t="s">
        <v>44</v>
      </c>
      <c r="N82" t="s">
        <v>17</v>
      </c>
    </row>
    <row r="83" spans="1:14">
      <c r="A83">
        <v>20994</v>
      </c>
      <c r="B83" t="s">
        <v>38</v>
      </c>
      <c r="C83" t="s">
        <v>43</v>
      </c>
      <c r="D83">
        <v>20000</v>
      </c>
      <c r="E83">
        <v>0</v>
      </c>
      <c r="F83" t="s">
        <v>15</v>
      </c>
      <c r="G83" t="s">
        <v>22</v>
      </c>
      <c r="H83" t="s">
        <v>20</v>
      </c>
      <c r="I83">
        <v>0</v>
      </c>
      <c r="J83" t="s">
        <v>18</v>
      </c>
      <c r="K83" t="s">
        <v>27</v>
      </c>
      <c r="L83">
        <v>26</v>
      </c>
      <c r="M83" t="s">
        <v>46</v>
      </c>
      <c r="N83" t="s">
        <v>17</v>
      </c>
    </row>
    <row r="84" spans="1:14">
      <c r="A84">
        <v>11489</v>
      </c>
      <c r="B84" t="s">
        <v>41</v>
      </c>
      <c r="C84" t="s">
        <v>43</v>
      </c>
      <c r="D84">
        <v>20000</v>
      </c>
      <c r="E84">
        <v>0</v>
      </c>
      <c r="F84" t="s">
        <v>32</v>
      </c>
      <c r="G84" t="s">
        <v>28</v>
      </c>
      <c r="H84" t="s">
        <v>20</v>
      </c>
      <c r="I84">
        <v>2</v>
      </c>
      <c r="J84" t="s">
        <v>29</v>
      </c>
      <c r="K84" t="s">
        <v>19</v>
      </c>
      <c r="L84">
        <v>35</v>
      </c>
      <c r="M84" t="s">
        <v>44</v>
      </c>
      <c r="N84" t="s">
        <v>17</v>
      </c>
    </row>
    <row r="85" spans="1:14">
      <c r="A85">
        <v>15926</v>
      </c>
      <c r="B85" t="s">
        <v>41</v>
      </c>
      <c r="C85" t="s">
        <v>43</v>
      </c>
      <c r="D85">
        <v>120000</v>
      </c>
      <c r="E85">
        <v>3</v>
      </c>
      <c r="F85" t="s">
        <v>30</v>
      </c>
      <c r="G85" t="s">
        <v>23</v>
      </c>
      <c r="H85" t="s">
        <v>17</v>
      </c>
      <c r="I85">
        <v>4</v>
      </c>
      <c r="J85" t="s">
        <v>26</v>
      </c>
      <c r="K85" t="s">
        <v>19</v>
      </c>
      <c r="L85">
        <v>50</v>
      </c>
      <c r="M85" t="s">
        <v>44</v>
      </c>
      <c r="N85" t="s">
        <v>17</v>
      </c>
    </row>
    <row r="86" spans="1:14">
      <c r="A86">
        <v>19174</v>
      </c>
      <c r="B86" t="s">
        <v>41</v>
      </c>
      <c r="C86" t="s">
        <v>43</v>
      </c>
      <c r="D86">
        <v>30000</v>
      </c>
      <c r="E86">
        <v>0</v>
      </c>
      <c r="F86" t="s">
        <v>30</v>
      </c>
      <c r="G86" t="s">
        <v>28</v>
      </c>
      <c r="H86" t="s">
        <v>20</v>
      </c>
      <c r="I86">
        <v>1</v>
      </c>
      <c r="J86" t="s">
        <v>24</v>
      </c>
      <c r="K86" t="s">
        <v>19</v>
      </c>
      <c r="L86">
        <v>32</v>
      </c>
      <c r="M86" t="s">
        <v>44</v>
      </c>
      <c r="N86" t="s">
        <v>17</v>
      </c>
    </row>
    <row r="87" spans="1:14">
      <c r="A87">
        <v>17894</v>
      </c>
      <c r="B87" t="s">
        <v>38</v>
      </c>
      <c r="C87" t="s">
        <v>43</v>
      </c>
      <c r="D87">
        <v>20000</v>
      </c>
      <c r="E87">
        <v>1</v>
      </c>
      <c r="F87" t="s">
        <v>15</v>
      </c>
      <c r="G87" t="s">
        <v>22</v>
      </c>
      <c r="H87" t="s">
        <v>17</v>
      </c>
      <c r="I87">
        <v>0</v>
      </c>
      <c r="J87" t="s">
        <v>18</v>
      </c>
      <c r="K87" t="s">
        <v>19</v>
      </c>
      <c r="L87">
        <v>50</v>
      </c>
      <c r="M87" t="s">
        <v>44</v>
      </c>
      <c r="N87" t="s">
        <v>17</v>
      </c>
    </row>
    <row r="88" spans="1:14">
      <c r="A88">
        <v>22936</v>
      </c>
      <c r="B88" t="s">
        <v>41</v>
      </c>
      <c r="C88" t="s">
        <v>43</v>
      </c>
      <c r="D88">
        <v>60000</v>
      </c>
      <c r="E88">
        <v>1</v>
      </c>
      <c r="F88" t="s">
        <v>21</v>
      </c>
      <c r="G88" t="s">
        <v>16</v>
      </c>
      <c r="H88" t="s">
        <v>20</v>
      </c>
      <c r="I88">
        <v>1</v>
      </c>
      <c r="J88" t="s">
        <v>18</v>
      </c>
      <c r="K88" t="s">
        <v>27</v>
      </c>
      <c r="L88">
        <v>45</v>
      </c>
      <c r="M88" t="s">
        <v>44</v>
      </c>
      <c r="N88" t="s">
        <v>17</v>
      </c>
    </row>
    <row r="89" spans="1:14">
      <c r="A89">
        <v>24121</v>
      </c>
      <c r="B89" t="s">
        <v>41</v>
      </c>
      <c r="C89" t="s">
        <v>43</v>
      </c>
      <c r="D89">
        <v>30000</v>
      </c>
      <c r="E89">
        <v>0</v>
      </c>
      <c r="F89" t="s">
        <v>21</v>
      </c>
      <c r="G89" t="s">
        <v>22</v>
      </c>
      <c r="H89" t="s">
        <v>20</v>
      </c>
      <c r="I89">
        <v>1</v>
      </c>
      <c r="J89" t="s">
        <v>18</v>
      </c>
      <c r="K89" t="s">
        <v>19</v>
      </c>
      <c r="L89">
        <v>29</v>
      </c>
      <c r="M89" t="s">
        <v>46</v>
      </c>
      <c r="N89" t="s">
        <v>17</v>
      </c>
    </row>
    <row r="90" spans="1:14">
      <c r="A90">
        <v>23608</v>
      </c>
      <c r="B90" t="s">
        <v>38</v>
      </c>
      <c r="C90" t="s">
        <v>43</v>
      </c>
      <c r="D90">
        <v>150000</v>
      </c>
      <c r="E90">
        <v>3</v>
      </c>
      <c r="F90" t="s">
        <v>30</v>
      </c>
      <c r="G90" t="s">
        <v>23</v>
      </c>
      <c r="H90" t="s">
        <v>17</v>
      </c>
      <c r="I90">
        <v>3</v>
      </c>
      <c r="J90" t="s">
        <v>18</v>
      </c>
      <c r="K90" t="s">
        <v>19</v>
      </c>
      <c r="L90">
        <v>51</v>
      </c>
      <c r="M90" t="s">
        <v>44</v>
      </c>
      <c r="N90" t="s">
        <v>17</v>
      </c>
    </row>
    <row r="91" spans="1:14">
      <c r="A91">
        <v>22518</v>
      </c>
      <c r="B91" t="s">
        <v>41</v>
      </c>
      <c r="C91" t="s">
        <v>43</v>
      </c>
      <c r="D91">
        <v>30000</v>
      </c>
      <c r="E91">
        <v>3</v>
      </c>
      <c r="F91" t="s">
        <v>21</v>
      </c>
      <c r="G91" t="s">
        <v>22</v>
      </c>
      <c r="H91" t="s">
        <v>20</v>
      </c>
      <c r="I91">
        <v>2</v>
      </c>
      <c r="J91" t="s">
        <v>18</v>
      </c>
      <c r="K91" t="s">
        <v>19</v>
      </c>
      <c r="L91">
        <v>27</v>
      </c>
      <c r="M91" t="s">
        <v>46</v>
      </c>
      <c r="N91" t="s">
        <v>17</v>
      </c>
    </row>
    <row r="92" spans="1:14">
      <c r="A92">
        <v>23571</v>
      </c>
      <c r="B92" t="s">
        <v>38</v>
      </c>
      <c r="C92" t="s">
        <v>43</v>
      </c>
      <c r="D92">
        <v>40000</v>
      </c>
      <c r="E92">
        <v>2</v>
      </c>
      <c r="F92" t="s">
        <v>15</v>
      </c>
      <c r="G92" t="s">
        <v>31</v>
      </c>
      <c r="H92" t="s">
        <v>17</v>
      </c>
      <c r="I92">
        <v>2</v>
      </c>
      <c r="J92" t="s">
        <v>18</v>
      </c>
      <c r="K92" t="s">
        <v>27</v>
      </c>
      <c r="L92">
        <v>66</v>
      </c>
      <c r="M92" t="s">
        <v>45</v>
      </c>
      <c r="N92" t="s">
        <v>17</v>
      </c>
    </row>
    <row r="93" spans="1:14">
      <c r="A93">
        <v>19305</v>
      </c>
      <c r="B93" t="s">
        <v>41</v>
      </c>
      <c r="C93" t="s">
        <v>43</v>
      </c>
      <c r="D93">
        <v>10000</v>
      </c>
      <c r="E93">
        <v>2</v>
      </c>
      <c r="F93" t="s">
        <v>30</v>
      </c>
      <c r="G93" t="s">
        <v>28</v>
      </c>
      <c r="H93" t="s">
        <v>17</v>
      </c>
      <c r="I93">
        <v>1</v>
      </c>
      <c r="J93" t="s">
        <v>18</v>
      </c>
      <c r="K93" t="s">
        <v>19</v>
      </c>
      <c r="L93">
        <v>38</v>
      </c>
      <c r="M93" t="s">
        <v>44</v>
      </c>
      <c r="N93" t="s">
        <v>17</v>
      </c>
    </row>
    <row r="94" spans="1:14">
      <c r="A94">
        <v>22636</v>
      </c>
      <c r="B94" t="s">
        <v>41</v>
      </c>
      <c r="C94" t="s">
        <v>43</v>
      </c>
      <c r="D94">
        <v>40000</v>
      </c>
      <c r="E94">
        <v>0</v>
      </c>
      <c r="F94" t="s">
        <v>15</v>
      </c>
      <c r="G94" t="s">
        <v>22</v>
      </c>
      <c r="H94" t="s">
        <v>20</v>
      </c>
      <c r="I94">
        <v>0</v>
      </c>
      <c r="J94" t="s">
        <v>18</v>
      </c>
      <c r="K94" t="s">
        <v>19</v>
      </c>
      <c r="L94">
        <v>38</v>
      </c>
      <c r="M94" t="s">
        <v>44</v>
      </c>
      <c r="N94" t="s">
        <v>17</v>
      </c>
    </row>
    <row r="95" spans="1:14">
      <c r="A95">
        <v>12133</v>
      </c>
      <c r="B95" t="s">
        <v>38</v>
      </c>
      <c r="C95" t="s">
        <v>43</v>
      </c>
      <c r="D95">
        <v>130000</v>
      </c>
      <c r="E95">
        <v>3</v>
      </c>
      <c r="F95" t="s">
        <v>21</v>
      </c>
      <c r="G95" t="s">
        <v>23</v>
      </c>
      <c r="H95" t="s">
        <v>17</v>
      </c>
      <c r="I95">
        <v>3</v>
      </c>
      <c r="J95" t="s">
        <v>26</v>
      </c>
      <c r="K95" t="s">
        <v>19</v>
      </c>
      <c r="L95">
        <v>50</v>
      </c>
      <c r="M95" t="s">
        <v>44</v>
      </c>
      <c r="N95" t="s">
        <v>17</v>
      </c>
    </row>
    <row r="96" spans="1:14">
      <c r="A96">
        <v>25918</v>
      </c>
      <c r="B96" t="s">
        <v>41</v>
      </c>
      <c r="C96" t="s">
        <v>43</v>
      </c>
      <c r="D96">
        <v>30000</v>
      </c>
      <c r="E96">
        <v>2</v>
      </c>
      <c r="F96" t="s">
        <v>21</v>
      </c>
      <c r="G96" t="s">
        <v>22</v>
      </c>
      <c r="H96" t="s">
        <v>20</v>
      </c>
      <c r="I96">
        <v>2</v>
      </c>
      <c r="J96" t="s">
        <v>26</v>
      </c>
      <c r="K96" t="s">
        <v>27</v>
      </c>
      <c r="L96">
        <v>60</v>
      </c>
      <c r="M96" t="s">
        <v>45</v>
      </c>
      <c r="N96" t="s">
        <v>17</v>
      </c>
    </row>
    <row r="97" spans="1:14">
      <c r="A97">
        <v>25752</v>
      </c>
      <c r="B97" t="s">
        <v>41</v>
      </c>
      <c r="C97" t="s">
        <v>43</v>
      </c>
      <c r="D97">
        <v>20000</v>
      </c>
      <c r="E97">
        <v>2</v>
      </c>
      <c r="F97" t="s">
        <v>21</v>
      </c>
      <c r="G97" t="s">
        <v>28</v>
      </c>
      <c r="H97" t="s">
        <v>20</v>
      </c>
      <c r="I97">
        <v>1</v>
      </c>
      <c r="J97" t="s">
        <v>18</v>
      </c>
      <c r="K97" t="s">
        <v>19</v>
      </c>
      <c r="L97">
        <v>53</v>
      </c>
      <c r="M97" t="s">
        <v>44</v>
      </c>
      <c r="N97" t="s">
        <v>17</v>
      </c>
    </row>
    <row r="98" spans="1:14">
      <c r="A98">
        <v>12581</v>
      </c>
      <c r="B98" t="s">
        <v>41</v>
      </c>
      <c r="C98" t="s">
        <v>43</v>
      </c>
      <c r="D98">
        <v>10000</v>
      </c>
      <c r="E98">
        <v>0</v>
      </c>
      <c r="F98" t="s">
        <v>21</v>
      </c>
      <c r="G98" t="s">
        <v>28</v>
      </c>
      <c r="H98" t="s">
        <v>20</v>
      </c>
      <c r="I98">
        <v>1</v>
      </c>
      <c r="J98" t="s">
        <v>18</v>
      </c>
      <c r="K98" t="s">
        <v>27</v>
      </c>
      <c r="L98">
        <v>28</v>
      </c>
      <c r="M98" t="s">
        <v>46</v>
      </c>
      <c r="N98" t="s">
        <v>17</v>
      </c>
    </row>
    <row r="99" spans="1:14">
      <c r="A99">
        <v>28957</v>
      </c>
      <c r="B99" t="s">
        <v>41</v>
      </c>
      <c r="C99" t="s">
        <v>43</v>
      </c>
      <c r="D99">
        <v>120000</v>
      </c>
      <c r="E99">
        <v>0</v>
      </c>
      <c r="F99" t="s">
        <v>32</v>
      </c>
      <c r="G99" t="s">
        <v>23</v>
      </c>
      <c r="H99" t="s">
        <v>17</v>
      </c>
      <c r="I99">
        <v>4</v>
      </c>
      <c r="J99" t="s">
        <v>33</v>
      </c>
      <c r="K99" t="s">
        <v>27</v>
      </c>
      <c r="L99">
        <v>34</v>
      </c>
      <c r="M99" t="s">
        <v>44</v>
      </c>
      <c r="N99" t="s">
        <v>17</v>
      </c>
    </row>
    <row r="100" spans="1:14">
      <c r="A100">
        <v>13690</v>
      </c>
      <c r="B100" t="s">
        <v>41</v>
      </c>
      <c r="C100" t="s">
        <v>43</v>
      </c>
      <c r="D100">
        <v>20000</v>
      </c>
      <c r="E100">
        <v>0</v>
      </c>
      <c r="F100" t="s">
        <v>32</v>
      </c>
      <c r="G100" t="s">
        <v>28</v>
      </c>
      <c r="H100" t="s">
        <v>20</v>
      </c>
      <c r="I100">
        <v>2</v>
      </c>
      <c r="J100" t="s">
        <v>29</v>
      </c>
      <c r="K100" t="s">
        <v>19</v>
      </c>
      <c r="L100">
        <v>34</v>
      </c>
      <c r="M100" t="s">
        <v>44</v>
      </c>
      <c r="N100" t="s">
        <v>17</v>
      </c>
    </row>
    <row r="101" spans="1:14">
      <c r="A101">
        <v>13122</v>
      </c>
      <c r="B101" t="s">
        <v>38</v>
      </c>
      <c r="C101" t="s">
        <v>43</v>
      </c>
      <c r="D101">
        <v>80000</v>
      </c>
      <c r="E101">
        <v>0</v>
      </c>
      <c r="F101" t="s">
        <v>15</v>
      </c>
      <c r="G101" t="s">
        <v>23</v>
      </c>
      <c r="H101" t="s">
        <v>17</v>
      </c>
      <c r="I101">
        <v>1</v>
      </c>
      <c r="J101" t="s">
        <v>29</v>
      </c>
      <c r="K101" t="s">
        <v>27</v>
      </c>
      <c r="L101">
        <v>41</v>
      </c>
      <c r="M101" t="s">
        <v>44</v>
      </c>
      <c r="N101" t="s">
        <v>17</v>
      </c>
    </row>
    <row r="102" spans="1:14">
      <c r="A102">
        <v>26150</v>
      </c>
      <c r="B102" t="s">
        <v>41</v>
      </c>
      <c r="C102" t="s">
        <v>43</v>
      </c>
      <c r="D102">
        <v>70000</v>
      </c>
      <c r="E102">
        <v>0</v>
      </c>
      <c r="F102" t="s">
        <v>15</v>
      </c>
      <c r="G102" t="s">
        <v>23</v>
      </c>
      <c r="H102" t="s">
        <v>20</v>
      </c>
      <c r="I102">
        <v>1</v>
      </c>
      <c r="J102" t="s">
        <v>18</v>
      </c>
      <c r="K102" t="s">
        <v>27</v>
      </c>
      <c r="L102">
        <v>41</v>
      </c>
      <c r="M102" t="s">
        <v>44</v>
      </c>
      <c r="N102" t="s">
        <v>17</v>
      </c>
    </row>
    <row r="103" spans="1:14">
      <c r="A103">
        <v>17793</v>
      </c>
      <c r="B103" t="s">
        <v>38</v>
      </c>
      <c r="C103" t="s">
        <v>43</v>
      </c>
      <c r="D103">
        <v>40000</v>
      </c>
      <c r="E103">
        <v>0</v>
      </c>
      <c r="F103" t="s">
        <v>15</v>
      </c>
      <c r="G103" t="s">
        <v>22</v>
      </c>
      <c r="H103" t="s">
        <v>17</v>
      </c>
      <c r="I103">
        <v>0</v>
      </c>
      <c r="J103" t="s">
        <v>18</v>
      </c>
      <c r="K103" t="s">
        <v>19</v>
      </c>
      <c r="L103">
        <v>38</v>
      </c>
      <c r="M103" t="s">
        <v>44</v>
      </c>
      <c r="N103" t="s">
        <v>17</v>
      </c>
    </row>
    <row r="104" spans="1:14">
      <c r="A104">
        <v>26167</v>
      </c>
      <c r="B104" t="s">
        <v>41</v>
      </c>
      <c r="C104" t="s">
        <v>43</v>
      </c>
      <c r="D104">
        <v>40000</v>
      </c>
      <c r="E104">
        <v>2</v>
      </c>
      <c r="F104" t="s">
        <v>15</v>
      </c>
      <c r="G104" t="s">
        <v>31</v>
      </c>
      <c r="H104" t="s">
        <v>20</v>
      </c>
      <c r="I104">
        <v>1</v>
      </c>
      <c r="J104" t="s">
        <v>26</v>
      </c>
      <c r="K104" t="s">
        <v>27</v>
      </c>
      <c r="L104">
        <v>53</v>
      </c>
      <c r="M104" t="s">
        <v>44</v>
      </c>
      <c r="N104" t="s">
        <v>17</v>
      </c>
    </row>
    <row r="105" spans="1:14">
      <c r="A105">
        <v>22439</v>
      </c>
      <c r="B105" t="s">
        <v>38</v>
      </c>
      <c r="C105" t="s">
        <v>43</v>
      </c>
      <c r="D105">
        <v>30000</v>
      </c>
      <c r="E105">
        <v>0</v>
      </c>
      <c r="F105" t="s">
        <v>15</v>
      </c>
      <c r="G105" t="s">
        <v>22</v>
      </c>
      <c r="H105" t="s">
        <v>17</v>
      </c>
      <c r="I105">
        <v>0</v>
      </c>
      <c r="J105" t="s">
        <v>18</v>
      </c>
      <c r="K105" t="s">
        <v>19</v>
      </c>
      <c r="L105">
        <v>37</v>
      </c>
      <c r="M105" t="s">
        <v>44</v>
      </c>
      <c r="N105" t="s">
        <v>17</v>
      </c>
    </row>
    <row r="106" spans="1:14">
      <c r="A106">
        <v>27582</v>
      </c>
      <c r="B106" t="s">
        <v>41</v>
      </c>
      <c r="C106" t="s">
        <v>43</v>
      </c>
      <c r="D106">
        <v>90000</v>
      </c>
      <c r="E106">
        <v>2</v>
      </c>
      <c r="F106" t="s">
        <v>15</v>
      </c>
      <c r="G106" t="s">
        <v>23</v>
      </c>
      <c r="H106" t="s">
        <v>20</v>
      </c>
      <c r="I106">
        <v>0</v>
      </c>
      <c r="J106" t="s">
        <v>18</v>
      </c>
      <c r="K106" t="s">
        <v>27</v>
      </c>
      <c r="L106">
        <v>36</v>
      </c>
      <c r="M106" t="s">
        <v>44</v>
      </c>
      <c r="N106" t="s">
        <v>17</v>
      </c>
    </row>
    <row r="107" spans="1:14">
      <c r="A107">
        <v>20171</v>
      </c>
      <c r="B107" t="s">
        <v>38</v>
      </c>
      <c r="C107" t="s">
        <v>43</v>
      </c>
      <c r="D107">
        <v>20000</v>
      </c>
      <c r="E107">
        <v>2</v>
      </c>
      <c r="F107" t="s">
        <v>21</v>
      </c>
      <c r="G107" t="s">
        <v>28</v>
      </c>
      <c r="H107" t="s">
        <v>17</v>
      </c>
      <c r="I107">
        <v>1</v>
      </c>
      <c r="J107" t="s">
        <v>18</v>
      </c>
      <c r="K107" t="s">
        <v>19</v>
      </c>
      <c r="L107">
        <v>46</v>
      </c>
      <c r="M107" t="s">
        <v>44</v>
      </c>
      <c r="N107" t="s">
        <v>17</v>
      </c>
    </row>
    <row r="108" spans="1:14">
      <c r="A108">
        <v>17960</v>
      </c>
      <c r="B108" t="s">
        <v>38</v>
      </c>
      <c r="C108" t="s">
        <v>43</v>
      </c>
      <c r="D108">
        <v>40000</v>
      </c>
      <c r="E108">
        <v>0</v>
      </c>
      <c r="F108" t="s">
        <v>34</v>
      </c>
      <c r="G108" t="s">
        <v>22</v>
      </c>
      <c r="H108" t="s">
        <v>17</v>
      </c>
      <c r="I108">
        <v>0</v>
      </c>
      <c r="J108" t="s">
        <v>18</v>
      </c>
      <c r="K108" t="s">
        <v>19</v>
      </c>
      <c r="L108">
        <v>35</v>
      </c>
      <c r="M108" t="s">
        <v>44</v>
      </c>
      <c r="N108" t="s">
        <v>17</v>
      </c>
    </row>
    <row r="109" spans="1:14">
      <c r="A109">
        <v>17048</v>
      </c>
      <c r="B109" t="s">
        <v>41</v>
      </c>
      <c r="C109" t="s">
        <v>43</v>
      </c>
      <c r="D109">
        <v>90000</v>
      </c>
      <c r="E109">
        <v>1</v>
      </c>
      <c r="F109" t="s">
        <v>34</v>
      </c>
      <c r="G109" t="s">
        <v>31</v>
      </c>
      <c r="H109" t="s">
        <v>17</v>
      </c>
      <c r="I109">
        <v>0</v>
      </c>
      <c r="J109" t="s">
        <v>18</v>
      </c>
      <c r="K109" t="s">
        <v>27</v>
      </c>
      <c r="L109">
        <v>36</v>
      </c>
      <c r="M109" t="s">
        <v>44</v>
      </c>
      <c r="N109" t="s">
        <v>17</v>
      </c>
    </row>
    <row r="110" spans="1:14">
      <c r="A110">
        <v>21891</v>
      </c>
      <c r="B110" t="s">
        <v>38</v>
      </c>
      <c r="C110" t="s">
        <v>43</v>
      </c>
      <c r="D110">
        <v>110000</v>
      </c>
      <c r="E110">
        <v>0</v>
      </c>
      <c r="F110" t="s">
        <v>30</v>
      </c>
      <c r="G110" t="s">
        <v>31</v>
      </c>
      <c r="H110" t="s">
        <v>17</v>
      </c>
      <c r="I110">
        <v>3</v>
      </c>
      <c r="J110" t="s">
        <v>33</v>
      </c>
      <c r="K110" t="s">
        <v>27</v>
      </c>
      <c r="L110">
        <v>34</v>
      </c>
      <c r="M110" t="s">
        <v>44</v>
      </c>
      <c r="N110" t="s">
        <v>17</v>
      </c>
    </row>
    <row r="111" spans="1:14">
      <c r="A111">
        <v>22175</v>
      </c>
      <c r="B111" t="s">
        <v>38</v>
      </c>
      <c r="C111" t="s">
        <v>43</v>
      </c>
      <c r="D111">
        <v>30000</v>
      </c>
      <c r="E111">
        <v>3</v>
      </c>
      <c r="F111" t="s">
        <v>30</v>
      </c>
      <c r="G111" t="s">
        <v>16</v>
      </c>
      <c r="H111" t="s">
        <v>17</v>
      </c>
      <c r="I111">
        <v>2</v>
      </c>
      <c r="J111" t="s">
        <v>26</v>
      </c>
      <c r="K111" t="s">
        <v>27</v>
      </c>
      <c r="L111">
        <v>53</v>
      </c>
      <c r="M111" t="s">
        <v>44</v>
      </c>
      <c r="N111" t="s">
        <v>17</v>
      </c>
    </row>
    <row r="112" spans="1:14">
      <c r="A112">
        <v>19784</v>
      </c>
      <c r="B112" t="s">
        <v>38</v>
      </c>
      <c r="C112" t="s">
        <v>43</v>
      </c>
      <c r="D112">
        <v>80000</v>
      </c>
      <c r="E112">
        <v>2</v>
      </c>
      <c r="F112" t="s">
        <v>30</v>
      </c>
      <c r="G112" t="s">
        <v>16</v>
      </c>
      <c r="H112" t="s">
        <v>17</v>
      </c>
      <c r="I112">
        <v>2</v>
      </c>
      <c r="J112" t="s">
        <v>26</v>
      </c>
      <c r="K112" t="s">
        <v>27</v>
      </c>
      <c r="L112">
        <v>50</v>
      </c>
      <c r="M112" t="s">
        <v>44</v>
      </c>
      <c r="N112" t="s">
        <v>17</v>
      </c>
    </row>
    <row r="113" spans="1:14">
      <c r="A113">
        <v>27824</v>
      </c>
      <c r="B113" t="s">
        <v>41</v>
      </c>
      <c r="C113" t="s">
        <v>43</v>
      </c>
      <c r="D113">
        <v>30000</v>
      </c>
      <c r="E113">
        <v>3</v>
      </c>
      <c r="F113" t="s">
        <v>21</v>
      </c>
      <c r="G113" t="s">
        <v>22</v>
      </c>
      <c r="H113" t="s">
        <v>17</v>
      </c>
      <c r="I113">
        <v>2</v>
      </c>
      <c r="J113" t="s">
        <v>18</v>
      </c>
      <c r="K113" t="s">
        <v>19</v>
      </c>
      <c r="L113">
        <v>28</v>
      </c>
      <c r="M113" t="s">
        <v>46</v>
      </c>
      <c r="N113" t="s">
        <v>17</v>
      </c>
    </row>
    <row r="114" spans="1:14">
      <c r="A114">
        <v>24093</v>
      </c>
      <c r="B114" t="s">
        <v>41</v>
      </c>
      <c r="C114" t="s">
        <v>43</v>
      </c>
      <c r="D114">
        <v>80000</v>
      </c>
      <c r="E114">
        <v>0</v>
      </c>
      <c r="F114" t="s">
        <v>34</v>
      </c>
      <c r="G114" t="s">
        <v>16</v>
      </c>
      <c r="H114" t="s">
        <v>20</v>
      </c>
      <c r="I114">
        <v>0</v>
      </c>
      <c r="J114" t="s">
        <v>18</v>
      </c>
      <c r="K114" t="s">
        <v>19</v>
      </c>
      <c r="L114">
        <v>40</v>
      </c>
      <c r="M114" t="s">
        <v>44</v>
      </c>
      <c r="N114" t="s">
        <v>17</v>
      </c>
    </row>
    <row r="115" spans="1:14">
      <c r="A115">
        <v>21108</v>
      </c>
      <c r="B115" t="s">
        <v>38</v>
      </c>
      <c r="C115" t="s">
        <v>43</v>
      </c>
      <c r="D115">
        <v>40000</v>
      </c>
      <c r="E115">
        <v>1</v>
      </c>
      <c r="F115" t="s">
        <v>15</v>
      </c>
      <c r="G115" t="s">
        <v>16</v>
      </c>
      <c r="H115" t="s">
        <v>17</v>
      </c>
      <c r="I115">
        <v>1</v>
      </c>
      <c r="J115" t="s">
        <v>18</v>
      </c>
      <c r="K115" t="s">
        <v>19</v>
      </c>
      <c r="L115">
        <v>43</v>
      </c>
      <c r="M115" t="s">
        <v>44</v>
      </c>
      <c r="N115" t="s">
        <v>17</v>
      </c>
    </row>
    <row r="116" spans="1:14">
      <c r="A116">
        <v>25307</v>
      </c>
      <c r="B116" t="s">
        <v>38</v>
      </c>
      <c r="C116" t="s">
        <v>43</v>
      </c>
      <c r="D116">
        <v>40000</v>
      </c>
      <c r="E116">
        <v>1</v>
      </c>
      <c r="F116" t="s">
        <v>15</v>
      </c>
      <c r="G116" t="s">
        <v>16</v>
      </c>
      <c r="H116" t="s">
        <v>17</v>
      </c>
      <c r="I116">
        <v>1</v>
      </c>
      <c r="J116" t="s">
        <v>29</v>
      </c>
      <c r="K116" t="s">
        <v>19</v>
      </c>
      <c r="L116">
        <v>32</v>
      </c>
      <c r="M116" t="s">
        <v>44</v>
      </c>
      <c r="N116" t="s">
        <v>17</v>
      </c>
    </row>
    <row r="117" spans="1:14">
      <c r="A117">
        <v>20711</v>
      </c>
      <c r="B117" t="s">
        <v>38</v>
      </c>
      <c r="C117" t="s">
        <v>43</v>
      </c>
      <c r="D117">
        <v>40000</v>
      </c>
      <c r="E117">
        <v>1</v>
      </c>
      <c r="F117" t="s">
        <v>15</v>
      </c>
      <c r="G117" t="s">
        <v>16</v>
      </c>
      <c r="H117" t="s">
        <v>17</v>
      </c>
      <c r="I117">
        <v>0</v>
      </c>
      <c r="J117" t="s">
        <v>29</v>
      </c>
      <c r="K117" t="s">
        <v>19</v>
      </c>
      <c r="L117">
        <v>32</v>
      </c>
      <c r="M117" t="s">
        <v>44</v>
      </c>
      <c r="N117" t="s">
        <v>17</v>
      </c>
    </row>
    <row r="118" spans="1:14">
      <c r="A118">
        <v>16559</v>
      </c>
      <c r="B118" t="s">
        <v>41</v>
      </c>
      <c r="C118" t="s">
        <v>43</v>
      </c>
      <c r="D118">
        <v>10000</v>
      </c>
      <c r="E118">
        <v>2</v>
      </c>
      <c r="F118" t="s">
        <v>30</v>
      </c>
      <c r="G118" t="s">
        <v>28</v>
      </c>
      <c r="H118" t="s">
        <v>17</v>
      </c>
      <c r="I118">
        <v>0</v>
      </c>
      <c r="J118" t="s">
        <v>18</v>
      </c>
      <c r="K118" t="s">
        <v>19</v>
      </c>
      <c r="L118">
        <v>36</v>
      </c>
      <c r="M118" t="s">
        <v>44</v>
      </c>
      <c r="N118" t="s">
        <v>17</v>
      </c>
    </row>
    <row r="119" spans="1:14">
      <c r="A119">
        <v>13585</v>
      </c>
      <c r="B119" t="s">
        <v>38</v>
      </c>
      <c r="C119" t="s">
        <v>43</v>
      </c>
      <c r="D119">
        <v>80000</v>
      </c>
      <c r="E119">
        <v>4</v>
      </c>
      <c r="F119" t="s">
        <v>21</v>
      </c>
      <c r="G119" t="s">
        <v>23</v>
      </c>
      <c r="H119" t="s">
        <v>20</v>
      </c>
      <c r="I119">
        <v>1</v>
      </c>
      <c r="J119" t="s">
        <v>24</v>
      </c>
      <c r="K119" t="s">
        <v>19</v>
      </c>
      <c r="L119">
        <v>53</v>
      </c>
      <c r="M119" t="s">
        <v>44</v>
      </c>
      <c r="N119" t="s">
        <v>17</v>
      </c>
    </row>
    <row r="120" spans="1:14">
      <c r="A120">
        <v>13089</v>
      </c>
      <c r="B120" t="s">
        <v>38</v>
      </c>
      <c r="C120" t="s">
        <v>43</v>
      </c>
      <c r="D120">
        <v>120000</v>
      </c>
      <c r="E120">
        <v>1</v>
      </c>
      <c r="F120" t="s">
        <v>15</v>
      </c>
      <c r="G120" t="s">
        <v>31</v>
      </c>
      <c r="H120" t="s">
        <v>17</v>
      </c>
      <c r="I120">
        <v>2</v>
      </c>
      <c r="J120" t="s">
        <v>18</v>
      </c>
      <c r="K120" t="s">
        <v>27</v>
      </c>
      <c r="L120">
        <v>46</v>
      </c>
      <c r="M120" t="s">
        <v>44</v>
      </c>
      <c r="N120" t="s">
        <v>17</v>
      </c>
    </row>
    <row r="121" spans="1:14">
      <c r="A121">
        <v>14791</v>
      </c>
      <c r="B121" t="s">
        <v>38</v>
      </c>
      <c r="C121" t="s">
        <v>43</v>
      </c>
      <c r="D121">
        <v>40000</v>
      </c>
      <c r="E121">
        <v>0</v>
      </c>
      <c r="F121" t="s">
        <v>15</v>
      </c>
      <c r="G121" t="s">
        <v>22</v>
      </c>
      <c r="H121" t="s">
        <v>17</v>
      </c>
      <c r="I121">
        <v>0</v>
      </c>
      <c r="J121" t="s">
        <v>18</v>
      </c>
      <c r="K121" t="s">
        <v>19</v>
      </c>
      <c r="L121">
        <v>39</v>
      </c>
      <c r="M121" t="s">
        <v>44</v>
      </c>
      <c r="N121" t="s">
        <v>17</v>
      </c>
    </row>
    <row r="122" spans="1:14">
      <c r="A122">
        <v>17754</v>
      </c>
      <c r="B122" t="s">
        <v>41</v>
      </c>
      <c r="C122" t="s">
        <v>43</v>
      </c>
      <c r="D122">
        <v>30000</v>
      </c>
      <c r="E122">
        <v>3</v>
      </c>
      <c r="F122" t="s">
        <v>15</v>
      </c>
      <c r="G122" t="s">
        <v>22</v>
      </c>
      <c r="H122" t="s">
        <v>17</v>
      </c>
      <c r="I122">
        <v>0</v>
      </c>
      <c r="J122" t="s">
        <v>18</v>
      </c>
      <c r="K122" t="s">
        <v>19</v>
      </c>
      <c r="L122">
        <v>46</v>
      </c>
      <c r="M122" t="s">
        <v>44</v>
      </c>
      <c r="N122" t="s">
        <v>17</v>
      </c>
    </row>
    <row r="123" spans="1:14">
      <c r="A123">
        <v>16549</v>
      </c>
      <c r="B123" t="s">
        <v>41</v>
      </c>
      <c r="C123" t="s">
        <v>43</v>
      </c>
      <c r="D123">
        <v>30000</v>
      </c>
      <c r="E123">
        <v>3</v>
      </c>
      <c r="F123" t="s">
        <v>15</v>
      </c>
      <c r="G123" t="s">
        <v>22</v>
      </c>
      <c r="H123" t="s">
        <v>17</v>
      </c>
      <c r="I123">
        <v>0</v>
      </c>
      <c r="J123" t="s">
        <v>18</v>
      </c>
      <c r="K123" t="s">
        <v>19</v>
      </c>
      <c r="L123">
        <v>47</v>
      </c>
      <c r="M123" t="s">
        <v>44</v>
      </c>
      <c r="N123" t="s">
        <v>17</v>
      </c>
    </row>
    <row r="124" spans="1:14">
      <c r="A124">
        <v>22634</v>
      </c>
      <c r="B124" t="s">
        <v>41</v>
      </c>
      <c r="C124" t="s">
        <v>43</v>
      </c>
      <c r="D124">
        <v>40000</v>
      </c>
      <c r="E124">
        <v>0</v>
      </c>
      <c r="F124" t="s">
        <v>34</v>
      </c>
      <c r="G124" t="s">
        <v>22</v>
      </c>
      <c r="H124" t="s">
        <v>17</v>
      </c>
      <c r="I124">
        <v>0</v>
      </c>
      <c r="J124" t="s">
        <v>18</v>
      </c>
      <c r="K124" t="s">
        <v>19</v>
      </c>
      <c r="L124">
        <v>38</v>
      </c>
      <c r="M124" t="s">
        <v>44</v>
      </c>
      <c r="N124" t="s">
        <v>17</v>
      </c>
    </row>
    <row r="125" spans="1:14">
      <c r="A125">
        <v>15665</v>
      </c>
      <c r="B125" t="s">
        <v>38</v>
      </c>
      <c r="C125" t="s">
        <v>43</v>
      </c>
      <c r="D125">
        <v>30000</v>
      </c>
      <c r="E125">
        <v>0</v>
      </c>
      <c r="F125" t="s">
        <v>15</v>
      </c>
      <c r="G125" t="s">
        <v>22</v>
      </c>
      <c r="H125" t="s">
        <v>17</v>
      </c>
      <c r="I125">
        <v>0</v>
      </c>
      <c r="J125" t="s">
        <v>18</v>
      </c>
      <c r="K125" t="s">
        <v>19</v>
      </c>
      <c r="L125">
        <v>47</v>
      </c>
      <c r="M125" t="s">
        <v>44</v>
      </c>
      <c r="N125" t="s">
        <v>17</v>
      </c>
    </row>
    <row r="126" spans="1:14">
      <c r="A126">
        <v>27585</v>
      </c>
      <c r="B126" t="s">
        <v>38</v>
      </c>
      <c r="C126" t="s">
        <v>43</v>
      </c>
      <c r="D126">
        <v>90000</v>
      </c>
      <c r="E126">
        <v>2</v>
      </c>
      <c r="F126" t="s">
        <v>15</v>
      </c>
      <c r="G126" t="s">
        <v>23</v>
      </c>
      <c r="H126" t="s">
        <v>20</v>
      </c>
      <c r="I126">
        <v>0</v>
      </c>
      <c r="J126" t="s">
        <v>18</v>
      </c>
      <c r="K126" t="s">
        <v>27</v>
      </c>
      <c r="L126">
        <v>36</v>
      </c>
      <c r="M126" t="s">
        <v>44</v>
      </c>
      <c r="N126" t="s">
        <v>17</v>
      </c>
    </row>
    <row r="127" spans="1:14">
      <c r="A127">
        <v>21974</v>
      </c>
      <c r="B127" t="s">
        <v>41</v>
      </c>
      <c r="C127" t="s">
        <v>43</v>
      </c>
      <c r="D127">
        <v>70000</v>
      </c>
      <c r="E127">
        <v>0</v>
      </c>
      <c r="F127" t="s">
        <v>15</v>
      </c>
      <c r="G127" t="s">
        <v>23</v>
      </c>
      <c r="H127" t="s">
        <v>17</v>
      </c>
      <c r="I127">
        <v>1</v>
      </c>
      <c r="J127" t="s">
        <v>26</v>
      </c>
      <c r="K127" t="s">
        <v>27</v>
      </c>
      <c r="L127">
        <v>42</v>
      </c>
      <c r="M127" t="s">
        <v>44</v>
      </c>
      <c r="N127" t="s">
        <v>17</v>
      </c>
    </row>
    <row r="128" spans="1:14">
      <c r="A128">
        <v>28564</v>
      </c>
      <c r="B128" t="s">
        <v>41</v>
      </c>
      <c r="C128" t="s">
        <v>43</v>
      </c>
      <c r="D128">
        <v>40000</v>
      </c>
      <c r="E128">
        <v>2</v>
      </c>
      <c r="F128" t="s">
        <v>21</v>
      </c>
      <c r="G128" t="s">
        <v>22</v>
      </c>
      <c r="H128" t="s">
        <v>17</v>
      </c>
      <c r="I128">
        <v>0</v>
      </c>
      <c r="J128" t="s">
        <v>29</v>
      </c>
      <c r="K128" t="s">
        <v>19</v>
      </c>
      <c r="L128">
        <v>33</v>
      </c>
      <c r="M128" t="s">
        <v>44</v>
      </c>
      <c r="N128" t="s">
        <v>17</v>
      </c>
    </row>
    <row r="129" spans="1:14">
      <c r="A129">
        <v>25681</v>
      </c>
      <c r="B129" t="s">
        <v>41</v>
      </c>
      <c r="C129" t="s">
        <v>43</v>
      </c>
      <c r="D129">
        <v>30000</v>
      </c>
      <c r="E129">
        <v>0</v>
      </c>
      <c r="F129" t="s">
        <v>21</v>
      </c>
      <c r="G129" t="s">
        <v>22</v>
      </c>
      <c r="H129" t="s">
        <v>20</v>
      </c>
      <c r="I129">
        <v>1</v>
      </c>
      <c r="J129" t="s">
        <v>24</v>
      </c>
      <c r="K129" t="s">
        <v>19</v>
      </c>
      <c r="L129">
        <v>31</v>
      </c>
      <c r="M129" t="s">
        <v>44</v>
      </c>
      <c r="N129" t="s">
        <v>17</v>
      </c>
    </row>
    <row r="130" spans="1:14">
      <c r="A130">
        <v>26238</v>
      </c>
      <c r="B130" t="s">
        <v>41</v>
      </c>
      <c r="C130" t="s">
        <v>43</v>
      </c>
      <c r="D130">
        <v>40000</v>
      </c>
      <c r="E130">
        <v>3</v>
      </c>
      <c r="F130" t="s">
        <v>21</v>
      </c>
      <c r="G130" t="s">
        <v>22</v>
      </c>
      <c r="H130" t="s">
        <v>17</v>
      </c>
      <c r="I130">
        <v>1</v>
      </c>
      <c r="J130" t="s">
        <v>29</v>
      </c>
      <c r="K130" t="s">
        <v>35</v>
      </c>
      <c r="L130">
        <v>31</v>
      </c>
      <c r="M130" t="s">
        <v>44</v>
      </c>
      <c r="N130" t="s">
        <v>17</v>
      </c>
    </row>
    <row r="131" spans="1:14">
      <c r="A131">
        <v>20678</v>
      </c>
      <c r="B131" t="s">
        <v>41</v>
      </c>
      <c r="C131" t="s">
        <v>43</v>
      </c>
      <c r="D131">
        <v>60000</v>
      </c>
      <c r="E131">
        <v>3</v>
      </c>
      <c r="F131" t="s">
        <v>15</v>
      </c>
      <c r="G131" t="s">
        <v>16</v>
      </c>
      <c r="H131" t="s">
        <v>17</v>
      </c>
      <c r="I131">
        <v>1</v>
      </c>
      <c r="J131" t="s">
        <v>24</v>
      </c>
      <c r="K131" t="s">
        <v>35</v>
      </c>
      <c r="L131">
        <v>40</v>
      </c>
      <c r="M131" t="s">
        <v>44</v>
      </c>
      <c r="N131" t="s">
        <v>17</v>
      </c>
    </row>
    <row r="132" spans="1:14">
      <c r="A132">
        <v>15302</v>
      </c>
      <c r="B132" t="s">
        <v>41</v>
      </c>
      <c r="C132" t="s">
        <v>43</v>
      </c>
      <c r="D132">
        <v>70000</v>
      </c>
      <c r="E132">
        <v>1</v>
      </c>
      <c r="F132" t="s">
        <v>34</v>
      </c>
      <c r="G132" t="s">
        <v>23</v>
      </c>
      <c r="H132" t="s">
        <v>17</v>
      </c>
      <c r="I132">
        <v>0</v>
      </c>
      <c r="J132" t="s">
        <v>24</v>
      </c>
      <c r="K132" t="s">
        <v>35</v>
      </c>
      <c r="L132">
        <v>34</v>
      </c>
      <c r="M132" t="s">
        <v>44</v>
      </c>
      <c r="N132" t="s">
        <v>17</v>
      </c>
    </row>
    <row r="133" spans="1:14">
      <c r="A133">
        <v>26575</v>
      </c>
      <c r="B133" t="s">
        <v>41</v>
      </c>
      <c r="C133" t="s">
        <v>43</v>
      </c>
      <c r="D133">
        <v>40000</v>
      </c>
      <c r="E133">
        <v>0</v>
      </c>
      <c r="F133" t="s">
        <v>30</v>
      </c>
      <c r="G133" t="s">
        <v>16</v>
      </c>
      <c r="H133" t="s">
        <v>20</v>
      </c>
      <c r="I133">
        <v>2</v>
      </c>
      <c r="J133" t="s">
        <v>29</v>
      </c>
      <c r="K133" t="s">
        <v>35</v>
      </c>
      <c r="L133">
        <v>31</v>
      </c>
      <c r="M133" t="s">
        <v>44</v>
      </c>
      <c r="N133" t="s">
        <v>17</v>
      </c>
    </row>
    <row r="134" spans="1:14">
      <c r="A134">
        <v>20339</v>
      </c>
      <c r="B134" t="s">
        <v>38</v>
      </c>
      <c r="C134" t="s">
        <v>43</v>
      </c>
      <c r="D134">
        <v>130000</v>
      </c>
      <c r="E134">
        <v>1</v>
      </c>
      <c r="F134" t="s">
        <v>15</v>
      </c>
      <c r="G134" t="s">
        <v>31</v>
      </c>
      <c r="H134" t="s">
        <v>17</v>
      </c>
      <c r="I134">
        <v>4</v>
      </c>
      <c r="J134" t="s">
        <v>24</v>
      </c>
      <c r="K134" t="s">
        <v>35</v>
      </c>
      <c r="L134">
        <v>44</v>
      </c>
      <c r="M134" t="s">
        <v>44</v>
      </c>
      <c r="N134" t="s">
        <v>17</v>
      </c>
    </row>
    <row r="135" spans="1:14">
      <c r="A135">
        <v>25074</v>
      </c>
      <c r="B135" t="s">
        <v>38</v>
      </c>
      <c r="C135" t="s">
        <v>43</v>
      </c>
      <c r="D135">
        <v>70000</v>
      </c>
      <c r="E135">
        <v>4</v>
      </c>
      <c r="F135" t="s">
        <v>15</v>
      </c>
      <c r="G135" t="s">
        <v>23</v>
      </c>
      <c r="H135" t="s">
        <v>17</v>
      </c>
      <c r="I135">
        <v>2</v>
      </c>
      <c r="J135" t="s">
        <v>24</v>
      </c>
      <c r="K135" t="s">
        <v>35</v>
      </c>
      <c r="L135">
        <v>42</v>
      </c>
      <c r="M135" t="s">
        <v>44</v>
      </c>
      <c r="N135" t="s">
        <v>17</v>
      </c>
    </row>
    <row r="136" spans="1:14">
      <c r="A136">
        <v>24738</v>
      </c>
      <c r="B136" t="s">
        <v>38</v>
      </c>
      <c r="C136" t="s">
        <v>43</v>
      </c>
      <c r="D136">
        <v>40000</v>
      </c>
      <c r="E136">
        <v>1</v>
      </c>
      <c r="F136" t="s">
        <v>21</v>
      </c>
      <c r="G136" t="s">
        <v>22</v>
      </c>
      <c r="H136" t="s">
        <v>17</v>
      </c>
      <c r="I136">
        <v>1</v>
      </c>
      <c r="J136" t="s">
        <v>29</v>
      </c>
      <c r="K136" t="s">
        <v>35</v>
      </c>
      <c r="L136">
        <v>51</v>
      </c>
      <c r="M136" t="s">
        <v>44</v>
      </c>
      <c r="N136" t="s">
        <v>17</v>
      </c>
    </row>
    <row r="137" spans="1:14">
      <c r="A137">
        <v>18052</v>
      </c>
      <c r="B137" t="s">
        <v>38</v>
      </c>
      <c r="C137" t="s">
        <v>43</v>
      </c>
      <c r="D137">
        <v>60000</v>
      </c>
      <c r="E137">
        <v>1</v>
      </c>
      <c r="F137" t="s">
        <v>21</v>
      </c>
      <c r="G137" t="s">
        <v>16</v>
      </c>
      <c r="H137" t="s">
        <v>17</v>
      </c>
      <c r="I137">
        <v>1</v>
      </c>
      <c r="J137" t="s">
        <v>18</v>
      </c>
      <c r="K137" t="s">
        <v>35</v>
      </c>
      <c r="L137">
        <v>45</v>
      </c>
      <c r="M137" t="s">
        <v>44</v>
      </c>
      <c r="N137" t="s">
        <v>17</v>
      </c>
    </row>
    <row r="138" spans="1:14">
      <c r="A138">
        <v>13353</v>
      </c>
      <c r="B138" t="s">
        <v>41</v>
      </c>
      <c r="C138" t="s">
        <v>43</v>
      </c>
      <c r="D138">
        <v>60000</v>
      </c>
      <c r="E138">
        <v>4</v>
      </c>
      <c r="F138" t="s">
        <v>34</v>
      </c>
      <c r="G138" t="s">
        <v>31</v>
      </c>
      <c r="H138" t="s">
        <v>17</v>
      </c>
      <c r="I138">
        <v>2</v>
      </c>
      <c r="J138" t="s">
        <v>33</v>
      </c>
      <c r="K138" t="s">
        <v>35</v>
      </c>
      <c r="L138">
        <v>61</v>
      </c>
      <c r="M138" t="s">
        <v>45</v>
      </c>
      <c r="N138" t="s">
        <v>17</v>
      </c>
    </row>
    <row r="139" spans="1:14">
      <c r="A139">
        <v>23586</v>
      </c>
      <c r="B139" t="s">
        <v>38</v>
      </c>
      <c r="C139" t="s">
        <v>43</v>
      </c>
      <c r="D139">
        <v>80000</v>
      </c>
      <c r="E139">
        <v>0</v>
      </c>
      <c r="F139" t="s">
        <v>15</v>
      </c>
      <c r="G139" t="s">
        <v>31</v>
      </c>
      <c r="H139" t="s">
        <v>17</v>
      </c>
      <c r="I139">
        <v>1</v>
      </c>
      <c r="J139" t="s">
        <v>29</v>
      </c>
      <c r="K139" t="s">
        <v>35</v>
      </c>
      <c r="L139">
        <v>34</v>
      </c>
      <c r="M139" t="s">
        <v>44</v>
      </c>
      <c r="N139" t="s">
        <v>17</v>
      </c>
    </row>
    <row r="140" spans="1:14">
      <c r="A140">
        <v>29143</v>
      </c>
      <c r="B140" t="s">
        <v>41</v>
      </c>
      <c r="C140" t="s">
        <v>43</v>
      </c>
      <c r="D140">
        <v>60000</v>
      </c>
      <c r="E140">
        <v>1</v>
      </c>
      <c r="F140" t="s">
        <v>15</v>
      </c>
      <c r="G140" t="s">
        <v>23</v>
      </c>
      <c r="H140" t="s">
        <v>20</v>
      </c>
      <c r="I140">
        <v>1</v>
      </c>
      <c r="J140" t="s">
        <v>18</v>
      </c>
      <c r="K140" t="s">
        <v>35</v>
      </c>
      <c r="L140">
        <v>44</v>
      </c>
      <c r="M140" t="s">
        <v>44</v>
      </c>
      <c r="N140" t="s">
        <v>17</v>
      </c>
    </row>
    <row r="141" spans="1:14">
      <c r="A141">
        <v>13907</v>
      </c>
      <c r="B141" t="s">
        <v>41</v>
      </c>
      <c r="C141" t="s">
        <v>43</v>
      </c>
      <c r="D141">
        <v>80000</v>
      </c>
      <c r="E141">
        <v>3</v>
      </c>
      <c r="F141" t="s">
        <v>15</v>
      </c>
      <c r="G141" t="s">
        <v>16</v>
      </c>
      <c r="H141" t="s">
        <v>17</v>
      </c>
      <c r="I141">
        <v>1</v>
      </c>
      <c r="J141" t="s">
        <v>18</v>
      </c>
      <c r="K141" t="s">
        <v>35</v>
      </c>
      <c r="L141">
        <v>41</v>
      </c>
      <c r="M141" t="s">
        <v>44</v>
      </c>
      <c r="N141" t="s">
        <v>17</v>
      </c>
    </row>
    <row r="142" spans="1:14">
      <c r="A142">
        <v>14900</v>
      </c>
      <c r="B142" t="s">
        <v>38</v>
      </c>
      <c r="C142" t="s">
        <v>43</v>
      </c>
      <c r="D142">
        <v>40000</v>
      </c>
      <c r="E142">
        <v>1</v>
      </c>
      <c r="F142" t="s">
        <v>21</v>
      </c>
      <c r="G142" t="s">
        <v>22</v>
      </c>
      <c r="H142" t="s">
        <v>17</v>
      </c>
      <c r="I142">
        <v>1</v>
      </c>
      <c r="J142" t="s">
        <v>29</v>
      </c>
      <c r="K142" t="s">
        <v>35</v>
      </c>
      <c r="L142">
        <v>49</v>
      </c>
      <c r="M142" t="s">
        <v>44</v>
      </c>
      <c r="N142" t="s">
        <v>17</v>
      </c>
    </row>
    <row r="143" spans="1:14">
      <c r="A143">
        <v>22294</v>
      </c>
      <c r="B143" t="s">
        <v>41</v>
      </c>
      <c r="C143" t="s">
        <v>43</v>
      </c>
      <c r="D143">
        <v>70000</v>
      </c>
      <c r="E143">
        <v>0</v>
      </c>
      <c r="F143" t="s">
        <v>15</v>
      </c>
      <c r="G143" t="s">
        <v>23</v>
      </c>
      <c r="H143" t="s">
        <v>20</v>
      </c>
      <c r="I143">
        <v>1</v>
      </c>
      <c r="J143" t="s">
        <v>24</v>
      </c>
      <c r="K143" t="s">
        <v>35</v>
      </c>
      <c r="L143">
        <v>37</v>
      </c>
      <c r="M143" t="s">
        <v>44</v>
      </c>
      <c r="N143" t="s">
        <v>17</v>
      </c>
    </row>
    <row r="144" spans="1:14">
      <c r="A144">
        <v>13453</v>
      </c>
      <c r="B144" t="s">
        <v>38</v>
      </c>
      <c r="C144" t="s">
        <v>43</v>
      </c>
      <c r="D144">
        <v>130000</v>
      </c>
      <c r="E144">
        <v>3</v>
      </c>
      <c r="F144" t="s">
        <v>15</v>
      </c>
      <c r="G144" t="s">
        <v>31</v>
      </c>
      <c r="H144" t="s">
        <v>17</v>
      </c>
      <c r="I144">
        <v>3</v>
      </c>
      <c r="J144" t="s">
        <v>18</v>
      </c>
      <c r="K144" t="s">
        <v>35</v>
      </c>
      <c r="L144">
        <v>45</v>
      </c>
      <c r="M144" t="s">
        <v>44</v>
      </c>
      <c r="N144" t="s">
        <v>17</v>
      </c>
    </row>
    <row r="145" spans="1:14">
      <c r="A145">
        <v>14063</v>
      </c>
      <c r="B145" t="s">
        <v>41</v>
      </c>
      <c r="C145" t="s">
        <v>43</v>
      </c>
      <c r="D145">
        <v>70000</v>
      </c>
      <c r="E145">
        <v>0</v>
      </c>
      <c r="F145" t="s">
        <v>15</v>
      </c>
      <c r="G145" t="s">
        <v>23</v>
      </c>
      <c r="H145" t="s">
        <v>20</v>
      </c>
      <c r="I145">
        <v>1</v>
      </c>
      <c r="J145" t="s">
        <v>18</v>
      </c>
      <c r="K145" t="s">
        <v>27</v>
      </c>
      <c r="L145">
        <v>42</v>
      </c>
      <c r="M145" t="s">
        <v>44</v>
      </c>
      <c r="N145" t="s">
        <v>17</v>
      </c>
    </row>
    <row r="146" spans="1:14">
      <c r="A146">
        <v>18580</v>
      </c>
      <c r="B146" t="s">
        <v>38</v>
      </c>
      <c r="C146" t="s">
        <v>43</v>
      </c>
      <c r="D146">
        <v>60000</v>
      </c>
      <c r="E146">
        <v>2</v>
      </c>
      <c r="F146" t="s">
        <v>34</v>
      </c>
      <c r="G146" t="s">
        <v>23</v>
      </c>
      <c r="H146" t="s">
        <v>17</v>
      </c>
      <c r="I146">
        <v>0</v>
      </c>
      <c r="J146" t="s">
        <v>24</v>
      </c>
      <c r="K146" t="s">
        <v>35</v>
      </c>
      <c r="L146">
        <v>40</v>
      </c>
      <c r="M146" t="s">
        <v>44</v>
      </c>
      <c r="N146" t="s">
        <v>17</v>
      </c>
    </row>
    <row r="147" spans="1:14">
      <c r="A147">
        <v>18560</v>
      </c>
      <c r="B147" t="s">
        <v>38</v>
      </c>
      <c r="C147" t="s">
        <v>43</v>
      </c>
      <c r="D147">
        <v>70000</v>
      </c>
      <c r="E147">
        <v>2</v>
      </c>
      <c r="F147" t="s">
        <v>34</v>
      </c>
      <c r="G147" t="s">
        <v>23</v>
      </c>
      <c r="H147" t="s">
        <v>17</v>
      </c>
      <c r="I147">
        <v>0</v>
      </c>
      <c r="J147" t="s">
        <v>24</v>
      </c>
      <c r="K147" t="s">
        <v>35</v>
      </c>
      <c r="L147">
        <v>34</v>
      </c>
      <c r="M147" t="s">
        <v>44</v>
      </c>
      <c r="N147" t="s">
        <v>17</v>
      </c>
    </row>
    <row r="148" spans="1:14">
      <c r="A148">
        <v>21266</v>
      </c>
      <c r="B148" t="s">
        <v>41</v>
      </c>
      <c r="C148" t="s">
        <v>43</v>
      </c>
      <c r="D148">
        <v>80000</v>
      </c>
      <c r="E148">
        <v>0</v>
      </c>
      <c r="F148" t="s">
        <v>15</v>
      </c>
      <c r="G148" t="s">
        <v>31</v>
      </c>
      <c r="H148" t="s">
        <v>17</v>
      </c>
      <c r="I148">
        <v>1</v>
      </c>
      <c r="J148" t="s">
        <v>29</v>
      </c>
      <c r="K148" t="s">
        <v>35</v>
      </c>
      <c r="L148">
        <v>34</v>
      </c>
      <c r="M148" t="s">
        <v>44</v>
      </c>
      <c r="N148" t="s">
        <v>17</v>
      </c>
    </row>
    <row r="149" spans="1:14">
      <c r="A149">
        <v>16871</v>
      </c>
      <c r="B149" t="s">
        <v>38</v>
      </c>
      <c r="C149" t="s">
        <v>43</v>
      </c>
      <c r="D149">
        <v>90000</v>
      </c>
      <c r="E149">
        <v>2</v>
      </c>
      <c r="F149" t="s">
        <v>30</v>
      </c>
      <c r="G149" t="s">
        <v>23</v>
      </c>
      <c r="H149" t="s">
        <v>17</v>
      </c>
      <c r="I149">
        <v>1</v>
      </c>
      <c r="J149" t="s">
        <v>33</v>
      </c>
      <c r="K149" t="s">
        <v>35</v>
      </c>
      <c r="L149">
        <v>51</v>
      </c>
      <c r="M149" t="s">
        <v>44</v>
      </c>
      <c r="N149" t="s">
        <v>17</v>
      </c>
    </row>
    <row r="150" spans="1:14">
      <c r="A150">
        <v>23158</v>
      </c>
      <c r="B150" t="s">
        <v>38</v>
      </c>
      <c r="C150" t="s">
        <v>43</v>
      </c>
      <c r="D150">
        <v>60000</v>
      </c>
      <c r="E150">
        <v>1</v>
      </c>
      <c r="F150" t="s">
        <v>34</v>
      </c>
      <c r="G150" t="s">
        <v>23</v>
      </c>
      <c r="H150" t="s">
        <v>20</v>
      </c>
      <c r="I150">
        <v>0</v>
      </c>
      <c r="J150" t="s">
        <v>18</v>
      </c>
      <c r="K150" t="s">
        <v>35</v>
      </c>
      <c r="L150">
        <v>35</v>
      </c>
      <c r="M150" t="s">
        <v>44</v>
      </c>
      <c r="N150" t="s">
        <v>17</v>
      </c>
    </row>
    <row r="151" spans="1:14">
      <c r="A151">
        <v>19812</v>
      </c>
      <c r="B151" t="s">
        <v>41</v>
      </c>
      <c r="C151" t="s">
        <v>43</v>
      </c>
      <c r="D151">
        <v>70000</v>
      </c>
      <c r="E151">
        <v>2</v>
      </c>
      <c r="F151" t="s">
        <v>21</v>
      </c>
      <c r="G151" t="s">
        <v>23</v>
      </c>
      <c r="H151" t="s">
        <v>17</v>
      </c>
      <c r="I151">
        <v>0</v>
      </c>
      <c r="J151" t="s">
        <v>26</v>
      </c>
      <c r="K151" t="s">
        <v>35</v>
      </c>
      <c r="L151">
        <v>49</v>
      </c>
      <c r="M151" t="s">
        <v>44</v>
      </c>
      <c r="N151" t="s">
        <v>17</v>
      </c>
    </row>
    <row r="152" spans="1:14">
      <c r="A152">
        <v>19002</v>
      </c>
      <c r="B152" t="s">
        <v>38</v>
      </c>
      <c r="C152" t="s">
        <v>43</v>
      </c>
      <c r="D152">
        <v>60000</v>
      </c>
      <c r="E152">
        <v>2</v>
      </c>
      <c r="F152" t="s">
        <v>21</v>
      </c>
      <c r="G152" t="s">
        <v>23</v>
      </c>
      <c r="H152" t="s">
        <v>17</v>
      </c>
      <c r="I152">
        <v>1</v>
      </c>
      <c r="J152" t="s">
        <v>24</v>
      </c>
      <c r="K152" t="s">
        <v>35</v>
      </c>
      <c r="L152">
        <v>57</v>
      </c>
      <c r="M152" t="s">
        <v>45</v>
      </c>
      <c r="N152" t="s">
        <v>17</v>
      </c>
    </row>
    <row r="153" spans="1:14">
      <c r="A153">
        <v>16145</v>
      </c>
      <c r="B153" t="s">
        <v>41</v>
      </c>
      <c r="C153" t="s">
        <v>43</v>
      </c>
      <c r="D153">
        <v>70000</v>
      </c>
      <c r="E153">
        <v>5</v>
      </c>
      <c r="F153" t="s">
        <v>34</v>
      </c>
      <c r="G153" t="s">
        <v>23</v>
      </c>
      <c r="H153" t="s">
        <v>17</v>
      </c>
      <c r="I153">
        <v>3</v>
      </c>
      <c r="J153" t="s">
        <v>33</v>
      </c>
      <c r="K153" t="s">
        <v>35</v>
      </c>
      <c r="L153">
        <v>46</v>
      </c>
      <c r="M153" t="s">
        <v>44</v>
      </c>
      <c r="N153" t="s">
        <v>17</v>
      </c>
    </row>
    <row r="154" spans="1:14">
      <c r="A154">
        <v>22994</v>
      </c>
      <c r="B154" t="s">
        <v>38</v>
      </c>
      <c r="C154" t="s">
        <v>43</v>
      </c>
      <c r="D154">
        <v>80000</v>
      </c>
      <c r="E154">
        <v>0</v>
      </c>
      <c r="F154" t="s">
        <v>15</v>
      </c>
      <c r="G154" t="s">
        <v>31</v>
      </c>
      <c r="H154" t="s">
        <v>17</v>
      </c>
      <c r="I154">
        <v>1</v>
      </c>
      <c r="J154" t="s">
        <v>29</v>
      </c>
      <c r="K154" t="s">
        <v>35</v>
      </c>
      <c r="L154">
        <v>34</v>
      </c>
      <c r="M154" t="s">
        <v>44</v>
      </c>
      <c r="N154" t="s">
        <v>17</v>
      </c>
    </row>
    <row r="155" spans="1:14">
      <c r="A155">
        <v>11538</v>
      </c>
      <c r="B155" t="s">
        <v>41</v>
      </c>
      <c r="C155" t="s">
        <v>43</v>
      </c>
      <c r="D155">
        <v>60000</v>
      </c>
      <c r="E155">
        <v>4</v>
      </c>
      <c r="F155" t="s">
        <v>34</v>
      </c>
      <c r="G155" t="s">
        <v>16</v>
      </c>
      <c r="H155" t="s">
        <v>20</v>
      </c>
      <c r="I155">
        <v>0</v>
      </c>
      <c r="J155" t="s">
        <v>18</v>
      </c>
      <c r="K155" t="s">
        <v>35</v>
      </c>
      <c r="L155">
        <v>47</v>
      </c>
      <c r="M155" t="s">
        <v>44</v>
      </c>
      <c r="N155" t="s">
        <v>17</v>
      </c>
    </row>
    <row r="156" spans="1:14">
      <c r="A156">
        <v>11259</v>
      </c>
      <c r="B156" t="s">
        <v>38</v>
      </c>
      <c r="C156" t="s">
        <v>43</v>
      </c>
      <c r="D156">
        <v>100000</v>
      </c>
      <c r="E156">
        <v>4</v>
      </c>
      <c r="F156" t="s">
        <v>21</v>
      </c>
      <c r="G156" t="s">
        <v>23</v>
      </c>
      <c r="H156" t="s">
        <v>17</v>
      </c>
      <c r="I156">
        <v>4</v>
      </c>
      <c r="J156" t="s">
        <v>24</v>
      </c>
      <c r="K156" t="s">
        <v>35</v>
      </c>
      <c r="L156">
        <v>41</v>
      </c>
      <c r="M156" t="s">
        <v>44</v>
      </c>
      <c r="N156" t="s">
        <v>17</v>
      </c>
    </row>
    <row r="157" spans="1:14">
      <c r="A157">
        <v>25943</v>
      </c>
      <c r="B157" t="s">
        <v>41</v>
      </c>
      <c r="C157" t="s">
        <v>43</v>
      </c>
      <c r="D157">
        <v>70000</v>
      </c>
      <c r="E157">
        <v>0</v>
      </c>
      <c r="F157" t="s">
        <v>21</v>
      </c>
      <c r="G157" t="s">
        <v>16</v>
      </c>
      <c r="H157" t="s">
        <v>20</v>
      </c>
      <c r="I157">
        <v>2</v>
      </c>
      <c r="J157" t="s">
        <v>18</v>
      </c>
      <c r="K157" t="s">
        <v>35</v>
      </c>
      <c r="L157">
        <v>27</v>
      </c>
      <c r="M157" t="s">
        <v>46</v>
      </c>
      <c r="N157" t="s">
        <v>17</v>
      </c>
    </row>
    <row r="158" spans="1:14">
      <c r="A158">
        <v>22088</v>
      </c>
      <c r="B158" t="s">
        <v>38</v>
      </c>
      <c r="C158" t="s">
        <v>43</v>
      </c>
      <c r="D158">
        <v>130000</v>
      </c>
      <c r="E158">
        <v>1</v>
      </c>
      <c r="F158" t="s">
        <v>15</v>
      </c>
      <c r="G158" t="s">
        <v>31</v>
      </c>
      <c r="H158" t="s">
        <v>17</v>
      </c>
      <c r="I158">
        <v>2</v>
      </c>
      <c r="J158" t="s">
        <v>18</v>
      </c>
      <c r="K158" t="s">
        <v>35</v>
      </c>
      <c r="L158">
        <v>45</v>
      </c>
      <c r="M158" t="s">
        <v>44</v>
      </c>
      <c r="N158" t="s">
        <v>17</v>
      </c>
    </row>
    <row r="159" spans="1:14">
      <c r="A159">
        <v>29237</v>
      </c>
      <c r="B159" t="s">
        <v>41</v>
      </c>
      <c r="C159" t="s">
        <v>43</v>
      </c>
      <c r="D159">
        <v>120000</v>
      </c>
      <c r="E159">
        <v>4</v>
      </c>
      <c r="F159" t="s">
        <v>21</v>
      </c>
      <c r="G159" t="s">
        <v>23</v>
      </c>
      <c r="H159" t="s">
        <v>17</v>
      </c>
      <c r="I159">
        <v>3</v>
      </c>
      <c r="J159" t="s">
        <v>26</v>
      </c>
      <c r="K159" t="s">
        <v>35</v>
      </c>
      <c r="L159">
        <v>43</v>
      </c>
      <c r="M159" t="s">
        <v>44</v>
      </c>
      <c r="N159" t="s">
        <v>17</v>
      </c>
    </row>
    <row r="160" spans="1:14">
      <c r="A160">
        <v>25886</v>
      </c>
      <c r="B160" t="s">
        <v>38</v>
      </c>
      <c r="C160" t="s">
        <v>43</v>
      </c>
      <c r="D160">
        <v>60000</v>
      </c>
      <c r="E160">
        <v>2</v>
      </c>
      <c r="F160" t="s">
        <v>21</v>
      </c>
      <c r="G160" t="s">
        <v>23</v>
      </c>
      <c r="H160" t="s">
        <v>17</v>
      </c>
      <c r="I160">
        <v>2</v>
      </c>
      <c r="J160" t="s">
        <v>24</v>
      </c>
      <c r="K160" t="s">
        <v>35</v>
      </c>
      <c r="L160">
        <v>56</v>
      </c>
      <c r="M160" t="s">
        <v>45</v>
      </c>
      <c r="N160" t="s">
        <v>17</v>
      </c>
    </row>
    <row r="161" spans="1:14">
      <c r="A161">
        <v>21741</v>
      </c>
      <c r="B161" t="s">
        <v>38</v>
      </c>
      <c r="C161" t="s">
        <v>43</v>
      </c>
      <c r="D161">
        <v>70000</v>
      </c>
      <c r="E161">
        <v>3</v>
      </c>
      <c r="F161" t="s">
        <v>21</v>
      </c>
      <c r="G161" t="s">
        <v>23</v>
      </c>
      <c r="H161" t="s">
        <v>17</v>
      </c>
      <c r="I161">
        <v>2</v>
      </c>
      <c r="J161" t="s">
        <v>26</v>
      </c>
      <c r="K161" t="s">
        <v>35</v>
      </c>
      <c r="L161">
        <v>50</v>
      </c>
      <c r="M161" t="s">
        <v>44</v>
      </c>
      <c r="N161" t="s">
        <v>17</v>
      </c>
    </row>
    <row r="162" spans="1:14">
      <c r="A162">
        <v>14572</v>
      </c>
      <c r="B162" t="s">
        <v>38</v>
      </c>
      <c r="C162" t="s">
        <v>43</v>
      </c>
      <c r="D162">
        <v>70000</v>
      </c>
      <c r="E162">
        <v>3</v>
      </c>
      <c r="F162" t="s">
        <v>34</v>
      </c>
      <c r="G162" t="s">
        <v>23</v>
      </c>
      <c r="H162" t="s">
        <v>17</v>
      </c>
      <c r="I162">
        <v>0</v>
      </c>
      <c r="J162" t="s">
        <v>24</v>
      </c>
      <c r="K162" t="s">
        <v>35</v>
      </c>
      <c r="L162">
        <v>35</v>
      </c>
      <c r="M162" t="s">
        <v>44</v>
      </c>
      <c r="N162" t="s">
        <v>17</v>
      </c>
    </row>
    <row r="163" spans="1:14">
      <c r="A163">
        <v>25872</v>
      </c>
      <c r="B163" t="s">
        <v>41</v>
      </c>
      <c r="C163" t="s">
        <v>43</v>
      </c>
      <c r="D163">
        <v>70000</v>
      </c>
      <c r="E163">
        <v>2</v>
      </c>
      <c r="F163" t="s">
        <v>15</v>
      </c>
      <c r="G163" t="s">
        <v>31</v>
      </c>
      <c r="H163" t="s">
        <v>20</v>
      </c>
      <c r="I163">
        <v>1</v>
      </c>
      <c r="J163" t="s">
        <v>24</v>
      </c>
      <c r="K163" t="s">
        <v>35</v>
      </c>
      <c r="L163">
        <v>58</v>
      </c>
      <c r="M163" t="s">
        <v>45</v>
      </c>
      <c r="N163" t="s">
        <v>17</v>
      </c>
    </row>
    <row r="164" spans="1:14">
      <c r="A164">
        <v>19164</v>
      </c>
      <c r="B164" t="s">
        <v>41</v>
      </c>
      <c r="C164" t="s">
        <v>43</v>
      </c>
      <c r="D164">
        <v>70000</v>
      </c>
      <c r="E164">
        <v>0</v>
      </c>
      <c r="F164" t="s">
        <v>15</v>
      </c>
      <c r="G164" t="s">
        <v>23</v>
      </c>
      <c r="H164" t="s">
        <v>20</v>
      </c>
      <c r="I164">
        <v>1</v>
      </c>
      <c r="J164" t="s">
        <v>24</v>
      </c>
      <c r="K164" t="s">
        <v>35</v>
      </c>
      <c r="L164">
        <v>38</v>
      </c>
      <c r="M164" t="s">
        <v>44</v>
      </c>
      <c r="N164" t="s">
        <v>17</v>
      </c>
    </row>
    <row r="165" spans="1:14">
      <c r="A165">
        <v>18435</v>
      </c>
      <c r="B165" t="s">
        <v>41</v>
      </c>
      <c r="C165" t="s">
        <v>43</v>
      </c>
      <c r="D165">
        <v>70000</v>
      </c>
      <c r="E165">
        <v>5</v>
      </c>
      <c r="F165" t="s">
        <v>34</v>
      </c>
      <c r="G165" t="s">
        <v>31</v>
      </c>
      <c r="H165" t="s">
        <v>17</v>
      </c>
      <c r="I165">
        <v>2</v>
      </c>
      <c r="J165" t="s">
        <v>33</v>
      </c>
      <c r="K165" t="s">
        <v>35</v>
      </c>
      <c r="L165">
        <v>67</v>
      </c>
      <c r="M165" t="s">
        <v>45</v>
      </c>
      <c r="N165" t="s">
        <v>17</v>
      </c>
    </row>
    <row r="166" spans="1:14">
      <c r="A166">
        <v>21599</v>
      </c>
      <c r="B166" t="s">
        <v>38</v>
      </c>
      <c r="C166" t="s">
        <v>43</v>
      </c>
      <c r="D166">
        <v>60000</v>
      </c>
      <c r="E166">
        <v>1</v>
      </c>
      <c r="F166" t="s">
        <v>34</v>
      </c>
      <c r="G166" t="s">
        <v>23</v>
      </c>
      <c r="H166" t="s">
        <v>17</v>
      </c>
      <c r="I166">
        <v>0</v>
      </c>
      <c r="J166" t="s">
        <v>24</v>
      </c>
      <c r="K166" t="s">
        <v>35</v>
      </c>
      <c r="L166">
        <v>36</v>
      </c>
      <c r="M166" t="s">
        <v>44</v>
      </c>
      <c r="N166" t="s">
        <v>17</v>
      </c>
    </row>
    <row r="167" spans="1:14">
      <c r="A167">
        <v>28580</v>
      </c>
      <c r="B167" t="s">
        <v>38</v>
      </c>
      <c r="C167" t="s">
        <v>43</v>
      </c>
      <c r="D167">
        <v>80000</v>
      </c>
      <c r="E167">
        <v>0</v>
      </c>
      <c r="F167" t="s">
        <v>34</v>
      </c>
      <c r="G167" t="s">
        <v>16</v>
      </c>
      <c r="H167" t="s">
        <v>17</v>
      </c>
      <c r="I167">
        <v>0</v>
      </c>
      <c r="J167" t="s">
        <v>29</v>
      </c>
      <c r="K167" t="s">
        <v>35</v>
      </c>
      <c r="L167">
        <v>40</v>
      </c>
      <c r="M167" t="s">
        <v>44</v>
      </c>
      <c r="N167" t="s">
        <v>17</v>
      </c>
    </row>
    <row r="168" spans="1:14">
      <c r="A168">
        <v>17864</v>
      </c>
      <c r="B168" t="s">
        <v>38</v>
      </c>
      <c r="C168" t="s">
        <v>43</v>
      </c>
      <c r="D168">
        <v>60000</v>
      </c>
      <c r="E168">
        <v>1</v>
      </c>
      <c r="F168" t="s">
        <v>21</v>
      </c>
      <c r="G168" t="s">
        <v>16</v>
      </c>
      <c r="H168" t="s">
        <v>17</v>
      </c>
      <c r="I168">
        <v>1</v>
      </c>
      <c r="J168" t="s">
        <v>24</v>
      </c>
      <c r="K168" t="s">
        <v>35</v>
      </c>
      <c r="L168">
        <v>46</v>
      </c>
      <c r="M168" t="s">
        <v>44</v>
      </c>
      <c r="N168" t="s">
        <v>17</v>
      </c>
    </row>
    <row r="169" spans="1:14">
      <c r="A169">
        <v>22252</v>
      </c>
      <c r="B169" t="s">
        <v>41</v>
      </c>
      <c r="C169" t="s">
        <v>43</v>
      </c>
      <c r="D169">
        <v>60000</v>
      </c>
      <c r="E169">
        <v>1</v>
      </c>
      <c r="F169" t="s">
        <v>34</v>
      </c>
      <c r="G169" t="s">
        <v>23</v>
      </c>
      <c r="H169" t="s">
        <v>17</v>
      </c>
      <c r="I169">
        <v>0</v>
      </c>
      <c r="J169" t="s">
        <v>24</v>
      </c>
      <c r="K169" t="s">
        <v>35</v>
      </c>
      <c r="L169">
        <v>36</v>
      </c>
      <c r="M169" t="s">
        <v>44</v>
      </c>
      <c r="N169" t="s">
        <v>17</v>
      </c>
    </row>
    <row r="170" spans="1:14">
      <c r="A170">
        <v>11817</v>
      </c>
      <c r="B170" t="s">
        <v>41</v>
      </c>
      <c r="C170" t="s">
        <v>43</v>
      </c>
      <c r="D170">
        <v>70000</v>
      </c>
      <c r="E170">
        <v>4</v>
      </c>
      <c r="F170" t="s">
        <v>34</v>
      </c>
      <c r="G170" t="s">
        <v>23</v>
      </c>
      <c r="H170" t="s">
        <v>17</v>
      </c>
      <c r="I170">
        <v>0</v>
      </c>
      <c r="J170" t="s">
        <v>24</v>
      </c>
      <c r="K170" t="s">
        <v>35</v>
      </c>
      <c r="L170">
        <v>35</v>
      </c>
      <c r="M170" t="s">
        <v>44</v>
      </c>
      <c r="N170" t="s">
        <v>17</v>
      </c>
    </row>
    <row r="171" spans="1:14">
      <c r="A171">
        <v>27673</v>
      </c>
      <c r="B171" t="s">
        <v>41</v>
      </c>
      <c r="C171" t="s">
        <v>43</v>
      </c>
      <c r="D171">
        <v>60000</v>
      </c>
      <c r="E171">
        <v>3</v>
      </c>
      <c r="F171" t="s">
        <v>34</v>
      </c>
      <c r="G171" t="s">
        <v>31</v>
      </c>
      <c r="H171" t="s">
        <v>17</v>
      </c>
      <c r="I171">
        <v>2</v>
      </c>
      <c r="J171" t="s">
        <v>26</v>
      </c>
      <c r="K171" t="s">
        <v>35</v>
      </c>
      <c r="L171">
        <v>53</v>
      </c>
      <c r="M171" t="s">
        <v>44</v>
      </c>
      <c r="N171" t="s">
        <v>17</v>
      </c>
    </row>
    <row r="172" spans="1:14">
      <c r="A172">
        <v>12774</v>
      </c>
      <c r="B172" t="s">
        <v>38</v>
      </c>
      <c r="C172" t="s">
        <v>43</v>
      </c>
      <c r="D172">
        <v>40000</v>
      </c>
      <c r="E172">
        <v>1</v>
      </c>
      <c r="F172" t="s">
        <v>21</v>
      </c>
      <c r="G172" t="s">
        <v>22</v>
      </c>
      <c r="H172" t="s">
        <v>17</v>
      </c>
      <c r="I172">
        <v>1</v>
      </c>
      <c r="J172" t="s">
        <v>29</v>
      </c>
      <c r="K172" t="s">
        <v>35</v>
      </c>
      <c r="L172">
        <v>51</v>
      </c>
      <c r="M172" t="s">
        <v>44</v>
      </c>
      <c r="N172" t="s">
        <v>17</v>
      </c>
    </row>
    <row r="173" spans="1:14">
      <c r="A173">
        <v>25970</v>
      </c>
      <c r="B173" t="s">
        <v>41</v>
      </c>
      <c r="C173" t="s">
        <v>43</v>
      </c>
      <c r="D173">
        <v>60000</v>
      </c>
      <c r="E173">
        <v>4</v>
      </c>
      <c r="F173" t="s">
        <v>15</v>
      </c>
      <c r="G173" t="s">
        <v>16</v>
      </c>
      <c r="H173" t="s">
        <v>20</v>
      </c>
      <c r="I173">
        <v>2</v>
      </c>
      <c r="J173" t="s">
        <v>18</v>
      </c>
      <c r="K173" t="s">
        <v>35</v>
      </c>
      <c r="L173">
        <v>41</v>
      </c>
      <c r="M173" t="s">
        <v>44</v>
      </c>
      <c r="N173" t="s">
        <v>17</v>
      </c>
    </row>
    <row r="174" spans="1:14">
      <c r="A174">
        <v>28068</v>
      </c>
      <c r="B174" t="s">
        <v>41</v>
      </c>
      <c r="C174" t="s">
        <v>43</v>
      </c>
      <c r="D174">
        <v>80000</v>
      </c>
      <c r="E174">
        <v>3</v>
      </c>
      <c r="F174" t="s">
        <v>34</v>
      </c>
      <c r="G174" t="s">
        <v>23</v>
      </c>
      <c r="H174" t="s">
        <v>20</v>
      </c>
      <c r="I174">
        <v>0</v>
      </c>
      <c r="J174" t="s">
        <v>18</v>
      </c>
      <c r="K174" t="s">
        <v>35</v>
      </c>
      <c r="L174">
        <v>36</v>
      </c>
      <c r="M174" t="s">
        <v>44</v>
      </c>
      <c r="N174" t="s">
        <v>17</v>
      </c>
    </row>
    <row r="175" spans="1:14">
      <c r="A175">
        <v>29132</v>
      </c>
      <c r="B175" t="s">
        <v>41</v>
      </c>
      <c r="C175" t="s">
        <v>43</v>
      </c>
      <c r="D175">
        <v>40000</v>
      </c>
      <c r="E175">
        <v>0</v>
      </c>
      <c r="F175" t="s">
        <v>15</v>
      </c>
      <c r="G175" t="s">
        <v>23</v>
      </c>
      <c r="H175" t="s">
        <v>17</v>
      </c>
      <c r="I175">
        <v>1</v>
      </c>
      <c r="J175" t="s">
        <v>24</v>
      </c>
      <c r="K175" t="s">
        <v>35</v>
      </c>
      <c r="L175">
        <v>42</v>
      </c>
      <c r="M175" t="s">
        <v>44</v>
      </c>
      <c r="N175" t="s">
        <v>17</v>
      </c>
    </row>
    <row r="176" spans="1:14">
      <c r="A176">
        <v>20296</v>
      </c>
      <c r="B176" t="s">
        <v>41</v>
      </c>
      <c r="C176" t="s">
        <v>43</v>
      </c>
      <c r="D176">
        <v>60000</v>
      </c>
      <c r="E176">
        <v>0</v>
      </c>
      <c r="F176" t="s">
        <v>21</v>
      </c>
      <c r="G176" t="s">
        <v>16</v>
      </c>
      <c r="H176" t="s">
        <v>20</v>
      </c>
      <c r="I176">
        <v>1</v>
      </c>
      <c r="J176" t="s">
        <v>29</v>
      </c>
      <c r="K176" t="s">
        <v>35</v>
      </c>
      <c r="L176">
        <v>33</v>
      </c>
      <c r="M176" t="s">
        <v>44</v>
      </c>
      <c r="N176" t="s">
        <v>17</v>
      </c>
    </row>
    <row r="177" spans="1:14">
      <c r="A177">
        <v>17546</v>
      </c>
      <c r="B177" t="s">
        <v>38</v>
      </c>
      <c r="C177" t="s">
        <v>43</v>
      </c>
      <c r="D177">
        <v>70000</v>
      </c>
      <c r="E177">
        <v>1</v>
      </c>
      <c r="F177" t="s">
        <v>21</v>
      </c>
      <c r="G177" t="s">
        <v>16</v>
      </c>
      <c r="H177" t="s">
        <v>17</v>
      </c>
      <c r="I177">
        <v>1</v>
      </c>
      <c r="J177" t="s">
        <v>18</v>
      </c>
      <c r="K177" t="s">
        <v>35</v>
      </c>
      <c r="L177">
        <v>44</v>
      </c>
      <c r="M177" t="s">
        <v>44</v>
      </c>
      <c r="N177" t="s">
        <v>17</v>
      </c>
    </row>
    <row r="178" spans="1:14">
      <c r="A178">
        <v>27090</v>
      </c>
      <c r="B178" t="s">
        <v>38</v>
      </c>
      <c r="C178" t="s">
        <v>43</v>
      </c>
      <c r="D178">
        <v>60000</v>
      </c>
      <c r="E178">
        <v>1</v>
      </c>
      <c r="F178" t="s">
        <v>34</v>
      </c>
      <c r="G178" t="s">
        <v>23</v>
      </c>
      <c r="H178" t="s">
        <v>17</v>
      </c>
      <c r="I178">
        <v>0</v>
      </c>
      <c r="J178" t="s">
        <v>24</v>
      </c>
      <c r="K178" t="s">
        <v>35</v>
      </c>
      <c r="L178">
        <v>37</v>
      </c>
      <c r="M178" t="s">
        <v>44</v>
      </c>
      <c r="N178" t="s">
        <v>17</v>
      </c>
    </row>
    <row r="179" spans="1:14">
      <c r="A179">
        <v>24958</v>
      </c>
      <c r="B179" t="s">
        <v>41</v>
      </c>
      <c r="C179" t="s">
        <v>43</v>
      </c>
      <c r="D179">
        <v>40000</v>
      </c>
      <c r="E179">
        <v>5</v>
      </c>
      <c r="F179" t="s">
        <v>30</v>
      </c>
      <c r="G179" t="s">
        <v>23</v>
      </c>
      <c r="H179" t="s">
        <v>20</v>
      </c>
      <c r="I179">
        <v>3</v>
      </c>
      <c r="J179" t="s">
        <v>24</v>
      </c>
      <c r="K179" t="s">
        <v>35</v>
      </c>
      <c r="L179">
        <v>60</v>
      </c>
      <c r="M179" t="s">
        <v>45</v>
      </c>
      <c r="N179" t="s">
        <v>17</v>
      </c>
    </row>
    <row r="180" spans="1:14">
      <c r="A180">
        <v>11886</v>
      </c>
      <c r="B180" t="s">
        <v>38</v>
      </c>
      <c r="C180" t="s">
        <v>43</v>
      </c>
      <c r="D180">
        <v>60000</v>
      </c>
      <c r="E180">
        <v>3</v>
      </c>
      <c r="F180" t="s">
        <v>15</v>
      </c>
      <c r="G180" t="s">
        <v>23</v>
      </c>
      <c r="H180" t="s">
        <v>17</v>
      </c>
      <c r="I180">
        <v>1</v>
      </c>
      <c r="J180" t="s">
        <v>18</v>
      </c>
      <c r="K180" t="s">
        <v>35</v>
      </c>
      <c r="L180">
        <v>48</v>
      </c>
      <c r="M180" t="s">
        <v>44</v>
      </c>
      <c r="N180" t="s">
        <v>17</v>
      </c>
    </row>
    <row r="181" spans="1:14">
      <c r="A181">
        <v>24324</v>
      </c>
      <c r="B181" t="s">
        <v>41</v>
      </c>
      <c r="C181" t="s">
        <v>43</v>
      </c>
      <c r="D181">
        <v>60000</v>
      </c>
      <c r="E181">
        <v>4</v>
      </c>
      <c r="F181" t="s">
        <v>15</v>
      </c>
      <c r="G181" t="s">
        <v>16</v>
      </c>
      <c r="H181" t="s">
        <v>17</v>
      </c>
      <c r="I181">
        <v>2</v>
      </c>
      <c r="J181" t="s">
        <v>24</v>
      </c>
      <c r="K181" t="s">
        <v>35</v>
      </c>
      <c r="L181">
        <v>41</v>
      </c>
      <c r="M181" t="s">
        <v>44</v>
      </c>
      <c r="N181" t="s">
        <v>17</v>
      </c>
    </row>
    <row r="182" spans="1:14">
      <c r="A182">
        <v>26625</v>
      </c>
      <c r="B182" t="s">
        <v>41</v>
      </c>
      <c r="C182" t="s">
        <v>43</v>
      </c>
      <c r="D182">
        <v>60000</v>
      </c>
      <c r="E182">
        <v>0</v>
      </c>
      <c r="F182" t="s">
        <v>34</v>
      </c>
      <c r="G182" t="s">
        <v>23</v>
      </c>
      <c r="H182" t="s">
        <v>17</v>
      </c>
      <c r="I182">
        <v>1</v>
      </c>
      <c r="J182" t="s">
        <v>24</v>
      </c>
      <c r="K182" t="s">
        <v>35</v>
      </c>
      <c r="L182">
        <v>38</v>
      </c>
      <c r="M182" t="s">
        <v>44</v>
      </c>
      <c r="N182" t="s">
        <v>17</v>
      </c>
    </row>
    <row r="183" spans="1:14">
      <c r="A183">
        <v>16867</v>
      </c>
      <c r="B183" t="s">
        <v>41</v>
      </c>
      <c r="C183" t="s">
        <v>43</v>
      </c>
      <c r="D183">
        <v>130000</v>
      </c>
      <c r="E183">
        <v>1</v>
      </c>
      <c r="F183" t="s">
        <v>15</v>
      </c>
      <c r="G183" t="s">
        <v>31</v>
      </c>
      <c r="H183" t="s">
        <v>20</v>
      </c>
      <c r="I183">
        <v>3</v>
      </c>
      <c r="J183" t="s">
        <v>18</v>
      </c>
      <c r="K183" t="s">
        <v>35</v>
      </c>
      <c r="L183">
        <v>45</v>
      </c>
      <c r="M183" t="s">
        <v>44</v>
      </c>
      <c r="N183" t="s">
        <v>17</v>
      </c>
    </row>
    <row r="184" spans="1:14">
      <c r="A184">
        <v>28799</v>
      </c>
      <c r="B184" t="s">
        <v>41</v>
      </c>
      <c r="C184" t="s">
        <v>43</v>
      </c>
      <c r="D184">
        <v>40000</v>
      </c>
      <c r="E184">
        <v>2</v>
      </c>
      <c r="F184" t="s">
        <v>21</v>
      </c>
      <c r="G184" t="s">
        <v>22</v>
      </c>
      <c r="H184" t="s">
        <v>20</v>
      </c>
      <c r="I184">
        <v>1</v>
      </c>
      <c r="J184" t="s">
        <v>29</v>
      </c>
      <c r="K184" t="s">
        <v>35</v>
      </c>
      <c r="L184">
        <v>47</v>
      </c>
      <c r="M184" t="s">
        <v>44</v>
      </c>
      <c r="N184" t="s">
        <v>17</v>
      </c>
    </row>
    <row r="185" spans="1:14">
      <c r="A185">
        <v>14913</v>
      </c>
      <c r="B185" t="s">
        <v>38</v>
      </c>
      <c r="C185" t="s">
        <v>43</v>
      </c>
      <c r="D185">
        <v>40000</v>
      </c>
      <c r="E185">
        <v>1</v>
      </c>
      <c r="F185" t="s">
        <v>21</v>
      </c>
      <c r="G185" t="s">
        <v>22</v>
      </c>
      <c r="H185" t="s">
        <v>17</v>
      </c>
      <c r="I185">
        <v>1</v>
      </c>
      <c r="J185" t="s">
        <v>29</v>
      </c>
      <c r="K185" t="s">
        <v>35</v>
      </c>
      <c r="L185">
        <v>48</v>
      </c>
      <c r="M185" t="s">
        <v>44</v>
      </c>
      <c r="N185" t="s">
        <v>17</v>
      </c>
    </row>
    <row r="186" spans="1:14">
      <c r="A186">
        <v>23668</v>
      </c>
      <c r="B186" t="s">
        <v>38</v>
      </c>
      <c r="C186" t="s">
        <v>43</v>
      </c>
      <c r="D186">
        <v>40000</v>
      </c>
      <c r="E186">
        <v>4</v>
      </c>
      <c r="F186" t="s">
        <v>30</v>
      </c>
      <c r="G186" t="s">
        <v>23</v>
      </c>
      <c r="H186" t="s">
        <v>17</v>
      </c>
      <c r="I186">
        <v>2</v>
      </c>
      <c r="J186" t="s">
        <v>26</v>
      </c>
      <c r="K186" t="s">
        <v>35</v>
      </c>
      <c r="L186">
        <v>59</v>
      </c>
      <c r="M186" t="s">
        <v>45</v>
      </c>
      <c r="N186" t="s">
        <v>17</v>
      </c>
    </row>
    <row r="187" spans="1:14">
      <c r="A187">
        <v>23217</v>
      </c>
      <c r="B187" t="s">
        <v>41</v>
      </c>
      <c r="C187" t="s">
        <v>43</v>
      </c>
      <c r="D187">
        <v>60000</v>
      </c>
      <c r="E187">
        <v>3</v>
      </c>
      <c r="F187" t="s">
        <v>34</v>
      </c>
      <c r="G187" t="s">
        <v>23</v>
      </c>
      <c r="H187" t="s">
        <v>17</v>
      </c>
      <c r="I187">
        <v>0</v>
      </c>
      <c r="J187" t="s">
        <v>24</v>
      </c>
      <c r="K187" t="s">
        <v>35</v>
      </c>
      <c r="L187">
        <v>43</v>
      </c>
      <c r="M187" t="s">
        <v>44</v>
      </c>
      <c r="N187" t="s">
        <v>17</v>
      </c>
    </row>
    <row r="188" spans="1:14">
      <c r="A188">
        <v>16753</v>
      </c>
      <c r="B188" t="s">
        <v>41</v>
      </c>
      <c r="C188" t="s">
        <v>43</v>
      </c>
      <c r="D188">
        <v>70000</v>
      </c>
      <c r="E188">
        <v>0</v>
      </c>
      <c r="F188" t="s">
        <v>21</v>
      </c>
      <c r="G188" t="s">
        <v>16</v>
      </c>
      <c r="H188" t="s">
        <v>17</v>
      </c>
      <c r="I188">
        <v>2</v>
      </c>
      <c r="J188" t="s">
        <v>26</v>
      </c>
      <c r="K188" t="s">
        <v>35</v>
      </c>
      <c r="L188">
        <v>34</v>
      </c>
      <c r="M188" t="s">
        <v>44</v>
      </c>
      <c r="N188" t="s">
        <v>17</v>
      </c>
    </row>
    <row r="189" spans="1:14">
      <c r="A189">
        <v>24979</v>
      </c>
      <c r="B189" t="s">
        <v>38</v>
      </c>
      <c r="C189" t="s">
        <v>43</v>
      </c>
      <c r="D189">
        <v>60000</v>
      </c>
      <c r="E189">
        <v>2</v>
      </c>
      <c r="F189" t="s">
        <v>21</v>
      </c>
      <c r="G189" t="s">
        <v>23</v>
      </c>
      <c r="H189" t="s">
        <v>17</v>
      </c>
      <c r="I189">
        <v>2</v>
      </c>
      <c r="J189" t="s">
        <v>24</v>
      </c>
      <c r="K189" t="s">
        <v>35</v>
      </c>
      <c r="L189">
        <v>57</v>
      </c>
      <c r="M189" t="s">
        <v>45</v>
      </c>
      <c r="N189" t="s">
        <v>17</v>
      </c>
    </row>
    <row r="190" spans="1:14">
      <c r="A190">
        <v>14602</v>
      </c>
      <c r="B190" t="s">
        <v>38</v>
      </c>
      <c r="C190" t="s">
        <v>43</v>
      </c>
      <c r="D190">
        <v>80000</v>
      </c>
      <c r="E190">
        <v>3</v>
      </c>
      <c r="F190" t="s">
        <v>34</v>
      </c>
      <c r="G190" t="s">
        <v>23</v>
      </c>
      <c r="H190" t="s">
        <v>17</v>
      </c>
      <c r="I190">
        <v>0</v>
      </c>
      <c r="J190" t="s">
        <v>18</v>
      </c>
      <c r="K190" t="s">
        <v>35</v>
      </c>
      <c r="L190">
        <v>36</v>
      </c>
      <c r="M190" t="s">
        <v>44</v>
      </c>
      <c r="N190" t="s">
        <v>17</v>
      </c>
    </row>
    <row r="191" spans="1:14">
      <c r="A191">
        <v>20076</v>
      </c>
      <c r="B191" t="s">
        <v>41</v>
      </c>
      <c r="C191" t="s">
        <v>43</v>
      </c>
      <c r="D191">
        <v>10000</v>
      </c>
      <c r="E191">
        <v>2</v>
      </c>
      <c r="F191" t="s">
        <v>30</v>
      </c>
      <c r="G191" t="s">
        <v>28</v>
      </c>
      <c r="H191" t="s">
        <v>17</v>
      </c>
      <c r="I191">
        <v>2</v>
      </c>
      <c r="J191" t="s">
        <v>29</v>
      </c>
      <c r="K191" t="s">
        <v>35</v>
      </c>
      <c r="L191">
        <v>53</v>
      </c>
      <c r="M191" t="s">
        <v>44</v>
      </c>
      <c r="N191" t="s">
        <v>17</v>
      </c>
    </row>
    <row r="192" spans="1:14">
      <c r="A192">
        <v>24496</v>
      </c>
      <c r="B192" t="s">
        <v>41</v>
      </c>
      <c r="C192" t="s">
        <v>43</v>
      </c>
      <c r="D192">
        <v>40000</v>
      </c>
      <c r="E192">
        <v>0</v>
      </c>
      <c r="F192" t="s">
        <v>30</v>
      </c>
      <c r="G192" t="s">
        <v>16</v>
      </c>
      <c r="H192" t="s">
        <v>20</v>
      </c>
      <c r="I192">
        <v>2</v>
      </c>
      <c r="J192" t="s">
        <v>18</v>
      </c>
      <c r="K192" t="s">
        <v>35</v>
      </c>
      <c r="L192">
        <v>28</v>
      </c>
      <c r="M192" t="s">
        <v>46</v>
      </c>
      <c r="N192" t="s">
        <v>17</v>
      </c>
    </row>
    <row r="193" spans="1:14">
      <c r="A193">
        <v>28031</v>
      </c>
      <c r="B193" t="s">
        <v>41</v>
      </c>
      <c r="C193" t="s">
        <v>43</v>
      </c>
      <c r="D193">
        <v>70000</v>
      </c>
      <c r="E193">
        <v>2</v>
      </c>
      <c r="F193" t="s">
        <v>15</v>
      </c>
      <c r="G193" t="s">
        <v>31</v>
      </c>
      <c r="H193" t="s">
        <v>20</v>
      </c>
      <c r="I193">
        <v>1</v>
      </c>
      <c r="J193" t="s">
        <v>24</v>
      </c>
      <c r="K193" t="s">
        <v>35</v>
      </c>
      <c r="L193">
        <v>59</v>
      </c>
      <c r="M193" t="s">
        <v>45</v>
      </c>
      <c r="N193" t="s">
        <v>17</v>
      </c>
    </row>
    <row r="194" spans="1:14">
      <c r="A194">
        <v>22971</v>
      </c>
      <c r="B194" t="s">
        <v>41</v>
      </c>
      <c r="C194" t="s">
        <v>43</v>
      </c>
      <c r="D194">
        <v>30000</v>
      </c>
      <c r="E194">
        <v>0</v>
      </c>
      <c r="F194" t="s">
        <v>30</v>
      </c>
      <c r="G194" t="s">
        <v>16</v>
      </c>
      <c r="H194" t="s">
        <v>20</v>
      </c>
      <c r="I194">
        <v>2</v>
      </c>
      <c r="J194" t="s">
        <v>18</v>
      </c>
      <c r="K194" t="s">
        <v>35</v>
      </c>
      <c r="L194">
        <v>25</v>
      </c>
      <c r="M194" t="s">
        <v>46</v>
      </c>
      <c r="N194" t="s">
        <v>17</v>
      </c>
    </row>
    <row r="195" spans="1:14">
      <c r="A195">
        <v>15287</v>
      </c>
      <c r="B195" t="s">
        <v>41</v>
      </c>
      <c r="C195" t="s">
        <v>43</v>
      </c>
      <c r="D195">
        <v>50000</v>
      </c>
      <c r="E195">
        <v>1</v>
      </c>
      <c r="F195" t="s">
        <v>34</v>
      </c>
      <c r="G195" t="s">
        <v>16</v>
      </c>
      <c r="H195" t="s">
        <v>17</v>
      </c>
      <c r="I195">
        <v>0</v>
      </c>
      <c r="J195" t="s">
        <v>29</v>
      </c>
      <c r="K195" t="s">
        <v>35</v>
      </c>
      <c r="L195">
        <v>33</v>
      </c>
      <c r="M195" t="s">
        <v>44</v>
      </c>
      <c r="N195" t="s">
        <v>17</v>
      </c>
    </row>
    <row r="196" spans="1:14">
      <c r="A196">
        <v>21417</v>
      </c>
      <c r="B196" t="s">
        <v>41</v>
      </c>
      <c r="C196" t="s">
        <v>43</v>
      </c>
      <c r="D196">
        <v>60000</v>
      </c>
      <c r="E196">
        <v>0</v>
      </c>
      <c r="F196" t="s">
        <v>21</v>
      </c>
      <c r="G196" t="s">
        <v>23</v>
      </c>
      <c r="H196" t="s">
        <v>20</v>
      </c>
      <c r="I196">
        <v>2</v>
      </c>
      <c r="J196" t="s">
        <v>29</v>
      </c>
      <c r="K196" t="s">
        <v>35</v>
      </c>
      <c r="L196">
        <v>32</v>
      </c>
      <c r="M196" t="s">
        <v>44</v>
      </c>
      <c r="N196" t="s">
        <v>17</v>
      </c>
    </row>
    <row r="197" spans="1:14">
      <c r="A197">
        <v>20376</v>
      </c>
      <c r="B197" t="s">
        <v>41</v>
      </c>
      <c r="C197" t="s">
        <v>43</v>
      </c>
      <c r="D197">
        <v>70000</v>
      </c>
      <c r="E197">
        <v>3</v>
      </c>
      <c r="F197" t="s">
        <v>34</v>
      </c>
      <c r="G197" t="s">
        <v>31</v>
      </c>
      <c r="H197" t="s">
        <v>17</v>
      </c>
      <c r="I197">
        <v>2</v>
      </c>
      <c r="J197" t="s">
        <v>26</v>
      </c>
      <c r="K197" t="s">
        <v>35</v>
      </c>
      <c r="L197">
        <v>52</v>
      </c>
      <c r="M197" t="s">
        <v>44</v>
      </c>
      <c r="N197" t="s">
        <v>17</v>
      </c>
    </row>
    <row r="198" spans="1:14">
      <c r="A198">
        <v>13351</v>
      </c>
      <c r="B198" t="s">
        <v>41</v>
      </c>
      <c r="C198" t="s">
        <v>43</v>
      </c>
      <c r="D198">
        <v>70000</v>
      </c>
      <c r="E198">
        <v>4</v>
      </c>
      <c r="F198" t="s">
        <v>15</v>
      </c>
      <c r="G198" t="s">
        <v>31</v>
      </c>
      <c r="H198" t="s">
        <v>17</v>
      </c>
      <c r="I198">
        <v>2</v>
      </c>
      <c r="J198" t="s">
        <v>29</v>
      </c>
      <c r="K198" t="s">
        <v>35</v>
      </c>
      <c r="L198">
        <v>62</v>
      </c>
      <c r="M198" t="s">
        <v>45</v>
      </c>
      <c r="N198" t="s">
        <v>17</v>
      </c>
    </row>
    <row r="199" spans="1:14">
      <c r="A199">
        <v>21660</v>
      </c>
      <c r="B199" t="s">
        <v>38</v>
      </c>
      <c r="C199" t="s">
        <v>43</v>
      </c>
      <c r="D199">
        <v>60000</v>
      </c>
      <c r="E199">
        <v>3</v>
      </c>
      <c r="F199" t="s">
        <v>34</v>
      </c>
      <c r="G199" t="s">
        <v>23</v>
      </c>
      <c r="H199" t="s">
        <v>17</v>
      </c>
      <c r="I199">
        <v>0</v>
      </c>
      <c r="J199" t="s">
        <v>24</v>
      </c>
      <c r="K199" t="s">
        <v>35</v>
      </c>
      <c r="L199">
        <v>43</v>
      </c>
      <c r="M199" t="s">
        <v>44</v>
      </c>
      <c r="N199" t="s">
        <v>17</v>
      </c>
    </row>
    <row r="200" spans="1:14">
      <c r="A200">
        <v>17012</v>
      </c>
      <c r="B200" t="s">
        <v>38</v>
      </c>
      <c r="C200" t="s">
        <v>43</v>
      </c>
      <c r="D200">
        <v>60000</v>
      </c>
      <c r="E200">
        <v>3</v>
      </c>
      <c r="F200" t="s">
        <v>34</v>
      </c>
      <c r="G200" t="s">
        <v>23</v>
      </c>
      <c r="H200" t="s">
        <v>17</v>
      </c>
      <c r="I200">
        <v>0</v>
      </c>
      <c r="J200" t="s">
        <v>24</v>
      </c>
      <c r="K200" t="s">
        <v>35</v>
      </c>
      <c r="L200">
        <v>42</v>
      </c>
      <c r="M200" t="s">
        <v>44</v>
      </c>
      <c r="N200" t="s">
        <v>17</v>
      </c>
    </row>
    <row r="201" spans="1:14">
      <c r="A201">
        <v>23041</v>
      </c>
      <c r="B201" t="s">
        <v>41</v>
      </c>
      <c r="C201" t="s">
        <v>43</v>
      </c>
      <c r="D201">
        <v>70000</v>
      </c>
      <c r="E201">
        <v>4</v>
      </c>
      <c r="F201" t="s">
        <v>30</v>
      </c>
      <c r="G201" t="s">
        <v>23</v>
      </c>
      <c r="H201" t="s">
        <v>17</v>
      </c>
      <c r="I201">
        <v>0</v>
      </c>
      <c r="J201" t="s">
        <v>26</v>
      </c>
      <c r="K201" t="s">
        <v>35</v>
      </c>
      <c r="L201">
        <v>50</v>
      </c>
      <c r="M201" t="s">
        <v>44</v>
      </c>
      <c r="N201" t="s">
        <v>17</v>
      </c>
    </row>
    <row r="202" spans="1:14">
      <c r="A202">
        <v>13911</v>
      </c>
      <c r="B202" t="s">
        <v>41</v>
      </c>
      <c r="C202" t="s">
        <v>43</v>
      </c>
      <c r="D202">
        <v>80000</v>
      </c>
      <c r="E202">
        <v>3</v>
      </c>
      <c r="F202" t="s">
        <v>15</v>
      </c>
      <c r="G202" t="s">
        <v>16</v>
      </c>
      <c r="H202" t="s">
        <v>17</v>
      </c>
      <c r="I202">
        <v>2</v>
      </c>
      <c r="J202" t="s">
        <v>24</v>
      </c>
      <c r="K202" t="s">
        <v>35</v>
      </c>
      <c r="L202">
        <v>41</v>
      </c>
      <c r="M202" t="s">
        <v>44</v>
      </c>
      <c r="N202" t="s">
        <v>17</v>
      </c>
    </row>
    <row r="203" spans="1:14">
      <c r="A203">
        <v>19163</v>
      </c>
      <c r="B203" t="s">
        <v>38</v>
      </c>
      <c r="C203" t="s">
        <v>43</v>
      </c>
      <c r="D203">
        <v>70000</v>
      </c>
      <c r="E203">
        <v>4</v>
      </c>
      <c r="F203" t="s">
        <v>15</v>
      </c>
      <c r="G203" t="s">
        <v>23</v>
      </c>
      <c r="H203" t="s">
        <v>17</v>
      </c>
      <c r="I203">
        <v>2</v>
      </c>
      <c r="J203" t="s">
        <v>18</v>
      </c>
      <c r="K203" t="s">
        <v>35</v>
      </c>
      <c r="L203">
        <v>43</v>
      </c>
      <c r="M203" t="s">
        <v>44</v>
      </c>
      <c r="N203" t="s">
        <v>17</v>
      </c>
    </row>
    <row r="204" spans="1:14">
      <c r="A204">
        <v>27540</v>
      </c>
      <c r="B204" t="s">
        <v>41</v>
      </c>
      <c r="C204" t="s">
        <v>43</v>
      </c>
      <c r="D204">
        <v>70000</v>
      </c>
      <c r="E204">
        <v>0</v>
      </c>
      <c r="F204" t="s">
        <v>15</v>
      </c>
      <c r="G204" t="s">
        <v>23</v>
      </c>
      <c r="H204" t="s">
        <v>20</v>
      </c>
      <c r="I204">
        <v>1</v>
      </c>
      <c r="J204" t="s">
        <v>18</v>
      </c>
      <c r="K204" t="s">
        <v>35</v>
      </c>
      <c r="L204">
        <v>37</v>
      </c>
      <c r="M204" t="s">
        <v>44</v>
      </c>
      <c r="N204" t="s">
        <v>17</v>
      </c>
    </row>
    <row r="205" spans="1:14">
      <c r="A205">
        <v>19889</v>
      </c>
      <c r="B205" t="s">
        <v>41</v>
      </c>
      <c r="C205" t="s">
        <v>43</v>
      </c>
      <c r="D205">
        <v>70000</v>
      </c>
      <c r="E205">
        <v>2</v>
      </c>
      <c r="F205" t="s">
        <v>32</v>
      </c>
      <c r="G205" t="s">
        <v>16</v>
      </c>
      <c r="H205" t="s">
        <v>20</v>
      </c>
      <c r="I205">
        <v>2</v>
      </c>
      <c r="J205" t="s">
        <v>24</v>
      </c>
      <c r="K205" t="s">
        <v>35</v>
      </c>
      <c r="L205">
        <v>54</v>
      </c>
      <c r="M205" t="s">
        <v>44</v>
      </c>
      <c r="N205" t="s">
        <v>17</v>
      </c>
    </row>
    <row r="206" spans="1:14">
      <c r="A206">
        <v>12922</v>
      </c>
      <c r="B206" t="s">
        <v>41</v>
      </c>
      <c r="C206" t="s">
        <v>43</v>
      </c>
      <c r="D206">
        <v>60000</v>
      </c>
      <c r="E206">
        <v>3</v>
      </c>
      <c r="F206" t="s">
        <v>15</v>
      </c>
      <c r="G206" t="s">
        <v>16</v>
      </c>
      <c r="H206" t="s">
        <v>17</v>
      </c>
      <c r="I206">
        <v>0</v>
      </c>
      <c r="J206" t="s">
        <v>24</v>
      </c>
      <c r="K206" t="s">
        <v>35</v>
      </c>
      <c r="L206">
        <v>40</v>
      </c>
      <c r="M206" t="s">
        <v>44</v>
      </c>
      <c r="N206" t="s">
        <v>17</v>
      </c>
    </row>
    <row r="207" spans="1:14">
      <c r="A207">
        <v>19143</v>
      </c>
      <c r="B207" t="s">
        <v>41</v>
      </c>
      <c r="C207" t="s">
        <v>43</v>
      </c>
      <c r="D207">
        <v>80000</v>
      </c>
      <c r="E207">
        <v>3</v>
      </c>
      <c r="F207" t="s">
        <v>15</v>
      </c>
      <c r="G207" t="s">
        <v>16</v>
      </c>
      <c r="H207" t="s">
        <v>17</v>
      </c>
      <c r="I207">
        <v>2</v>
      </c>
      <c r="J207" t="s">
        <v>24</v>
      </c>
      <c r="K207" t="s">
        <v>35</v>
      </c>
      <c r="L207">
        <v>41</v>
      </c>
      <c r="M207" t="s">
        <v>44</v>
      </c>
      <c r="N207" t="s">
        <v>17</v>
      </c>
    </row>
    <row r="208" spans="1:14">
      <c r="A208">
        <v>23882</v>
      </c>
      <c r="B208" t="s">
        <v>41</v>
      </c>
      <c r="C208" t="s">
        <v>43</v>
      </c>
      <c r="D208">
        <v>80000</v>
      </c>
      <c r="E208">
        <v>3</v>
      </c>
      <c r="F208" t="s">
        <v>34</v>
      </c>
      <c r="G208" t="s">
        <v>23</v>
      </c>
      <c r="H208" t="s">
        <v>17</v>
      </c>
      <c r="I208">
        <v>0</v>
      </c>
      <c r="J208" t="s">
        <v>18</v>
      </c>
      <c r="K208" t="s">
        <v>35</v>
      </c>
      <c r="L208">
        <v>37</v>
      </c>
      <c r="M208" t="s">
        <v>44</v>
      </c>
      <c r="N208" t="s">
        <v>17</v>
      </c>
    </row>
    <row r="209" spans="1:14">
      <c r="A209">
        <v>15555</v>
      </c>
      <c r="B209" t="s">
        <v>38</v>
      </c>
      <c r="C209" t="s">
        <v>43</v>
      </c>
      <c r="D209">
        <v>60000</v>
      </c>
      <c r="E209">
        <v>1</v>
      </c>
      <c r="F209" t="s">
        <v>21</v>
      </c>
      <c r="G209" t="s">
        <v>16</v>
      </c>
      <c r="H209" t="s">
        <v>17</v>
      </c>
      <c r="I209">
        <v>1</v>
      </c>
      <c r="J209" t="s">
        <v>24</v>
      </c>
      <c r="K209" t="s">
        <v>35</v>
      </c>
      <c r="L209">
        <v>45</v>
      </c>
      <c r="M209" t="s">
        <v>44</v>
      </c>
      <c r="N209" t="s">
        <v>17</v>
      </c>
    </row>
    <row r="210" spans="1:14">
      <c r="A210">
        <v>11745</v>
      </c>
      <c r="B210" t="s">
        <v>38</v>
      </c>
      <c r="C210" t="s">
        <v>43</v>
      </c>
      <c r="D210">
        <v>60000</v>
      </c>
      <c r="E210">
        <v>1</v>
      </c>
      <c r="F210" t="s">
        <v>15</v>
      </c>
      <c r="G210" t="s">
        <v>23</v>
      </c>
      <c r="H210" t="s">
        <v>17</v>
      </c>
      <c r="I210">
        <v>1</v>
      </c>
      <c r="J210" t="s">
        <v>18</v>
      </c>
      <c r="K210" t="s">
        <v>35</v>
      </c>
      <c r="L210">
        <v>47</v>
      </c>
      <c r="M210" t="s">
        <v>44</v>
      </c>
      <c r="N210" t="s">
        <v>17</v>
      </c>
    </row>
    <row r="211" spans="1:14">
      <c r="A211">
        <v>13714</v>
      </c>
      <c r="B211" t="s">
        <v>38</v>
      </c>
      <c r="C211" t="s">
        <v>43</v>
      </c>
      <c r="D211">
        <v>20000</v>
      </c>
      <c r="E211">
        <v>2</v>
      </c>
      <c r="F211" t="s">
        <v>30</v>
      </c>
      <c r="G211" t="s">
        <v>28</v>
      </c>
      <c r="H211" t="s">
        <v>20</v>
      </c>
      <c r="I211">
        <v>2</v>
      </c>
      <c r="J211" t="s">
        <v>29</v>
      </c>
      <c r="K211" t="s">
        <v>35</v>
      </c>
      <c r="L211">
        <v>53</v>
      </c>
      <c r="M211" t="s">
        <v>44</v>
      </c>
      <c r="N211" t="s">
        <v>17</v>
      </c>
    </row>
    <row r="212" spans="1:14">
      <c r="A212">
        <v>22046</v>
      </c>
      <c r="B212" t="s">
        <v>41</v>
      </c>
      <c r="C212" t="s">
        <v>43</v>
      </c>
      <c r="D212">
        <v>80000</v>
      </c>
      <c r="E212">
        <v>0</v>
      </c>
      <c r="F212" t="s">
        <v>15</v>
      </c>
      <c r="G212" t="s">
        <v>31</v>
      </c>
      <c r="H212" t="s">
        <v>20</v>
      </c>
      <c r="I212">
        <v>1</v>
      </c>
      <c r="J212" t="s">
        <v>18</v>
      </c>
      <c r="K212" t="s">
        <v>35</v>
      </c>
      <c r="L212">
        <v>38</v>
      </c>
      <c r="M212" t="s">
        <v>44</v>
      </c>
      <c r="N212" t="s">
        <v>17</v>
      </c>
    </row>
    <row r="213" spans="1:14">
      <c r="A213">
        <v>22118</v>
      </c>
      <c r="B213" t="s">
        <v>41</v>
      </c>
      <c r="C213" t="s">
        <v>43</v>
      </c>
      <c r="D213">
        <v>70000</v>
      </c>
      <c r="E213">
        <v>3</v>
      </c>
      <c r="F213" t="s">
        <v>34</v>
      </c>
      <c r="G213" t="s">
        <v>31</v>
      </c>
      <c r="H213" t="s">
        <v>17</v>
      </c>
      <c r="I213">
        <v>2</v>
      </c>
      <c r="J213" t="s">
        <v>26</v>
      </c>
      <c r="K213" t="s">
        <v>35</v>
      </c>
      <c r="L213">
        <v>53</v>
      </c>
      <c r="M213" t="s">
        <v>44</v>
      </c>
      <c r="N213" t="s">
        <v>17</v>
      </c>
    </row>
    <row r="214" spans="1:14">
      <c r="A214">
        <v>14883</v>
      </c>
      <c r="B214" t="s">
        <v>38</v>
      </c>
      <c r="C214" t="s">
        <v>43</v>
      </c>
      <c r="D214">
        <v>30000</v>
      </c>
      <c r="E214">
        <v>1</v>
      </c>
      <c r="F214" t="s">
        <v>15</v>
      </c>
      <c r="G214" t="s">
        <v>16</v>
      </c>
      <c r="H214" t="s">
        <v>17</v>
      </c>
      <c r="I214">
        <v>1</v>
      </c>
      <c r="J214" t="s">
        <v>26</v>
      </c>
      <c r="K214" t="s">
        <v>35</v>
      </c>
      <c r="L214">
        <v>53</v>
      </c>
      <c r="M214" t="s">
        <v>44</v>
      </c>
      <c r="N214" t="s">
        <v>17</v>
      </c>
    </row>
    <row r="215" spans="1:14">
      <c r="A215">
        <v>27279</v>
      </c>
      <c r="B215" t="s">
        <v>41</v>
      </c>
      <c r="C215" t="s">
        <v>43</v>
      </c>
      <c r="D215">
        <v>70000</v>
      </c>
      <c r="E215">
        <v>2</v>
      </c>
      <c r="F215" t="s">
        <v>15</v>
      </c>
      <c r="G215" t="s">
        <v>16</v>
      </c>
      <c r="H215" t="s">
        <v>17</v>
      </c>
      <c r="I215">
        <v>0</v>
      </c>
      <c r="J215" t="s">
        <v>24</v>
      </c>
      <c r="K215" t="s">
        <v>35</v>
      </c>
      <c r="L215">
        <v>38</v>
      </c>
      <c r="M215" t="s">
        <v>44</v>
      </c>
      <c r="N215" t="s">
        <v>17</v>
      </c>
    </row>
    <row r="216" spans="1:14">
      <c r="A216">
        <v>11275</v>
      </c>
      <c r="B216" t="s">
        <v>38</v>
      </c>
      <c r="C216" t="s">
        <v>43</v>
      </c>
      <c r="D216">
        <v>80000</v>
      </c>
      <c r="E216">
        <v>4</v>
      </c>
      <c r="F216" t="s">
        <v>34</v>
      </c>
      <c r="G216" t="s">
        <v>31</v>
      </c>
      <c r="H216" t="s">
        <v>17</v>
      </c>
      <c r="I216">
        <v>2</v>
      </c>
      <c r="J216" t="s">
        <v>18</v>
      </c>
      <c r="K216" t="s">
        <v>35</v>
      </c>
      <c r="L216">
        <v>72</v>
      </c>
      <c r="M216" t="s">
        <v>45</v>
      </c>
      <c r="N216" t="s">
        <v>17</v>
      </c>
    </row>
    <row r="217" spans="1:14">
      <c r="A217">
        <v>16151</v>
      </c>
      <c r="B217" t="s">
        <v>38</v>
      </c>
      <c r="C217" t="s">
        <v>43</v>
      </c>
      <c r="D217">
        <v>60000</v>
      </c>
      <c r="E217">
        <v>1</v>
      </c>
      <c r="F217" t="s">
        <v>15</v>
      </c>
      <c r="G217" t="s">
        <v>23</v>
      </c>
      <c r="H217" t="s">
        <v>17</v>
      </c>
      <c r="I217">
        <v>1</v>
      </c>
      <c r="J217" t="s">
        <v>24</v>
      </c>
      <c r="K217" t="s">
        <v>35</v>
      </c>
      <c r="L217">
        <v>48</v>
      </c>
      <c r="M217" t="s">
        <v>44</v>
      </c>
      <c r="N217" t="s">
        <v>17</v>
      </c>
    </row>
    <row r="218" spans="1:14">
      <c r="A218">
        <v>27074</v>
      </c>
      <c r="B218" t="s">
        <v>38</v>
      </c>
      <c r="C218" t="s">
        <v>43</v>
      </c>
      <c r="D218">
        <v>70000</v>
      </c>
      <c r="E218">
        <v>1</v>
      </c>
      <c r="F218" t="s">
        <v>34</v>
      </c>
      <c r="G218" t="s">
        <v>16</v>
      </c>
      <c r="H218" t="s">
        <v>17</v>
      </c>
      <c r="I218">
        <v>0</v>
      </c>
      <c r="J218" t="s">
        <v>18</v>
      </c>
      <c r="K218" t="s">
        <v>35</v>
      </c>
      <c r="L218">
        <v>35</v>
      </c>
      <c r="M218" t="s">
        <v>44</v>
      </c>
      <c r="N218" t="s">
        <v>17</v>
      </c>
    </row>
    <row r="219" spans="1:14">
      <c r="A219">
        <v>17000</v>
      </c>
      <c r="B219" t="s">
        <v>41</v>
      </c>
      <c r="C219" t="s">
        <v>43</v>
      </c>
      <c r="D219">
        <v>70000</v>
      </c>
      <c r="E219">
        <v>4</v>
      </c>
      <c r="F219" t="s">
        <v>15</v>
      </c>
      <c r="G219" t="s">
        <v>16</v>
      </c>
      <c r="H219" t="s">
        <v>17</v>
      </c>
      <c r="I219">
        <v>2</v>
      </c>
      <c r="J219" t="s">
        <v>24</v>
      </c>
      <c r="K219" t="s">
        <v>35</v>
      </c>
      <c r="L219">
        <v>43</v>
      </c>
      <c r="M219" t="s">
        <v>44</v>
      </c>
      <c r="N219" t="s">
        <v>17</v>
      </c>
    </row>
    <row r="220" spans="1:14">
      <c r="A220">
        <v>20401</v>
      </c>
      <c r="B220" t="s">
        <v>38</v>
      </c>
      <c r="C220" t="s">
        <v>43</v>
      </c>
      <c r="D220">
        <v>50000</v>
      </c>
      <c r="E220">
        <v>4</v>
      </c>
      <c r="F220" t="s">
        <v>15</v>
      </c>
      <c r="G220" t="s">
        <v>31</v>
      </c>
      <c r="H220" t="s">
        <v>17</v>
      </c>
      <c r="I220">
        <v>2</v>
      </c>
      <c r="J220" t="s">
        <v>29</v>
      </c>
      <c r="K220" t="s">
        <v>35</v>
      </c>
      <c r="L220">
        <v>64</v>
      </c>
      <c r="M220" t="s">
        <v>45</v>
      </c>
      <c r="N220" t="s">
        <v>17</v>
      </c>
    </row>
    <row r="221" spans="1:14">
      <c r="A221">
        <v>21583</v>
      </c>
      <c r="B221" t="s">
        <v>38</v>
      </c>
      <c r="C221" t="s">
        <v>43</v>
      </c>
      <c r="D221">
        <v>50000</v>
      </c>
      <c r="E221">
        <v>1</v>
      </c>
      <c r="F221" t="s">
        <v>15</v>
      </c>
      <c r="G221" t="s">
        <v>16</v>
      </c>
      <c r="H221" t="s">
        <v>17</v>
      </c>
      <c r="I221">
        <v>0</v>
      </c>
      <c r="J221" t="s">
        <v>18</v>
      </c>
      <c r="K221" t="s">
        <v>35</v>
      </c>
      <c r="L221">
        <v>34</v>
      </c>
      <c r="M221" t="s">
        <v>44</v>
      </c>
      <c r="N221" t="s">
        <v>17</v>
      </c>
    </row>
    <row r="222" spans="1:14">
      <c r="A222">
        <v>18607</v>
      </c>
      <c r="B222" t="s">
        <v>41</v>
      </c>
      <c r="C222" t="s">
        <v>43</v>
      </c>
      <c r="D222">
        <v>60000</v>
      </c>
      <c r="E222">
        <v>4</v>
      </c>
      <c r="F222" t="s">
        <v>15</v>
      </c>
      <c r="G222" t="s">
        <v>16</v>
      </c>
      <c r="H222" t="s">
        <v>17</v>
      </c>
      <c r="I222">
        <v>2</v>
      </c>
      <c r="J222" t="s">
        <v>24</v>
      </c>
      <c r="K222" t="s">
        <v>35</v>
      </c>
      <c r="L222">
        <v>42</v>
      </c>
      <c r="M222" t="s">
        <v>44</v>
      </c>
      <c r="N222" t="s">
        <v>17</v>
      </c>
    </row>
    <row r="223" spans="1:14">
      <c r="A223">
        <v>26305</v>
      </c>
      <c r="B223" t="s">
        <v>41</v>
      </c>
      <c r="C223" t="s">
        <v>43</v>
      </c>
      <c r="D223">
        <v>60000</v>
      </c>
      <c r="E223">
        <v>2</v>
      </c>
      <c r="F223" t="s">
        <v>15</v>
      </c>
      <c r="G223" t="s">
        <v>16</v>
      </c>
      <c r="H223" t="s">
        <v>20</v>
      </c>
      <c r="I223">
        <v>0</v>
      </c>
      <c r="J223" t="s">
        <v>18</v>
      </c>
      <c r="K223" t="s">
        <v>35</v>
      </c>
      <c r="L223">
        <v>36</v>
      </c>
      <c r="M223" t="s">
        <v>44</v>
      </c>
      <c r="N223" t="s">
        <v>17</v>
      </c>
    </row>
    <row r="224" spans="1:14">
      <c r="A224">
        <v>22042</v>
      </c>
      <c r="B224" t="s">
        <v>38</v>
      </c>
      <c r="C224" t="s">
        <v>43</v>
      </c>
      <c r="D224">
        <v>70000</v>
      </c>
      <c r="E224">
        <v>0</v>
      </c>
      <c r="F224" t="s">
        <v>21</v>
      </c>
      <c r="G224" t="s">
        <v>16</v>
      </c>
      <c r="H224" t="s">
        <v>17</v>
      </c>
      <c r="I224">
        <v>2</v>
      </c>
      <c r="J224" t="s">
        <v>26</v>
      </c>
      <c r="K224" t="s">
        <v>35</v>
      </c>
      <c r="L224">
        <v>34</v>
      </c>
      <c r="M224" t="s">
        <v>44</v>
      </c>
      <c r="N224" t="s">
        <v>17</v>
      </c>
    </row>
    <row r="225" spans="1:14">
      <c r="A225">
        <v>12153</v>
      </c>
      <c r="B225" t="s">
        <v>41</v>
      </c>
      <c r="C225" t="s">
        <v>43</v>
      </c>
      <c r="D225">
        <v>70000</v>
      </c>
      <c r="E225">
        <v>3</v>
      </c>
      <c r="F225" t="s">
        <v>21</v>
      </c>
      <c r="G225" t="s">
        <v>23</v>
      </c>
      <c r="H225" t="s">
        <v>17</v>
      </c>
      <c r="I225">
        <v>1</v>
      </c>
      <c r="J225" t="s">
        <v>26</v>
      </c>
      <c r="K225" t="s">
        <v>35</v>
      </c>
      <c r="L225">
        <v>49</v>
      </c>
      <c r="M225" t="s">
        <v>44</v>
      </c>
      <c r="N225" t="s">
        <v>17</v>
      </c>
    </row>
    <row r="226" spans="1:14">
      <c r="A226">
        <v>16895</v>
      </c>
      <c r="B226" t="s">
        <v>38</v>
      </c>
      <c r="C226" t="s">
        <v>43</v>
      </c>
      <c r="D226">
        <v>40000</v>
      </c>
      <c r="E226">
        <v>3</v>
      </c>
      <c r="F226" t="s">
        <v>21</v>
      </c>
      <c r="G226" t="s">
        <v>23</v>
      </c>
      <c r="H226" t="s">
        <v>20</v>
      </c>
      <c r="I226">
        <v>2</v>
      </c>
      <c r="J226" t="s">
        <v>29</v>
      </c>
      <c r="K226" t="s">
        <v>35</v>
      </c>
      <c r="L226">
        <v>54</v>
      </c>
      <c r="M226" t="s">
        <v>44</v>
      </c>
      <c r="N226" t="s">
        <v>17</v>
      </c>
    </row>
    <row r="227" spans="1:14">
      <c r="A227">
        <v>15862</v>
      </c>
      <c r="B227" t="s">
        <v>41</v>
      </c>
      <c r="C227" t="s">
        <v>43</v>
      </c>
      <c r="D227">
        <v>50000</v>
      </c>
      <c r="E227">
        <v>0</v>
      </c>
      <c r="F227" t="s">
        <v>34</v>
      </c>
      <c r="G227" t="s">
        <v>16</v>
      </c>
      <c r="H227" t="s">
        <v>17</v>
      </c>
      <c r="I227">
        <v>0</v>
      </c>
      <c r="J227" t="s">
        <v>29</v>
      </c>
      <c r="K227" t="s">
        <v>35</v>
      </c>
      <c r="L227">
        <v>33</v>
      </c>
      <c r="M227" t="s">
        <v>44</v>
      </c>
      <c r="N227" t="s">
        <v>17</v>
      </c>
    </row>
    <row r="228" spans="1:14">
      <c r="A228">
        <v>14914</v>
      </c>
      <c r="B228" t="s">
        <v>38</v>
      </c>
      <c r="C228" t="s">
        <v>43</v>
      </c>
      <c r="D228">
        <v>40000</v>
      </c>
      <c r="E228">
        <v>1</v>
      </c>
      <c r="F228" t="s">
        <v>21</v>
      </c>
      <c r="G228" t="s">
        <v>22</v>
      </c>
      <c r="H228" t="s">
        <v>17</v>
      </c>
      <c r="I228">
        <v>1</v>
      </c>
      <c r="J228" t="s">
        <v>29</v>
      </c>
      <c r="K228" t="s">
        <v>35</v>
      </c>
      <c r="L228">
        <v>49</v>
      </c>
      <c r="M228" t="s">
        <v>44</v>
      </c>
      <c r="N228" t="s">
        <v>17</v>
      </c>
    </row>
    <row r="229" spans="1:14">
      <c r="A229">
        <v>12033</v>
      </c>
      <c r="B229" t="s">
        <v>41</v>
      </c>
      <c r="C229" t="s">
        <v>43</v>
      </c>
      <c r="D229">
        <v>40000</v>
      </c>
      <c r="E229">
        <v>0</v>
      </c>
      <c r="F229" t="s">
        <v>30</v>
      </c>
      <c r="G229" t="s">
        <v>16</v>
      </c>
      <c r="H229" t="s">
        <v>20</v>
      </c>
      <c r="I229">
        <v>2</v>
      </c>
      <c r="J229" t="s">
        <v>18</v>
      </c>
      <c r="K229" t="s">
        <v>35</v>
      </c>
      <c r="L229">
        <v>27</v>
      </c>
      <c r="M229" t="s">
        <v>46</v>
      </c>
      <c r="N229" t="s">
        <v>17</v>
      </c>
    </row>
    <row r="230" spans="1:14">
      <c r="A230">
        <v>18050</v>
      </c>
      <c r="B230" t="s">
        <v>38</v>
      </c>
      <c r="C230" t="s">
        <v>43</v>
      </c>
      <c r="D230">
        <v>60000</v>
      </c>
      <c r="E230">
        <v>1</v>
      </c>
      <c r="F230" t="s">
        <v>21</v>
      </c>
      <c r="G230" t="s">
        <v>16</v>
      </c>
      <c r="H230" t="s">
        <v>17</v>
      </c>
      <c r="I230">
        <v>1</v>
      </c>
      <c r="J230" t="s">
        <v>18</v>
      </c>
      <c r="K230" t="s">
        <v>35</v>
      </c>
      <c r="L230">
        <v>45</v>
      </c>
      <c r="M230" t="s">
        <v>44</v>
      </c>
      <c r="N230" t="s">
        <v>17</v>
      </c>
    </row>
    <row r="231" spans="1:14">
      <c r="A231">
        <v>21587</v>
      </c>
      <c r="B231" t="s">
        <v>38</v>
      </c>
      <c r="C231" t="s">
        <v>43</v>
      </c>
      <c r="D231">
        <v>60000</v>
      </c>
      <c r="E231">
        <v>1</v>
      </c>
      <c r="F231" t="s">
        <v>34</v>
      </c>
      <c r="G231" t="s">
        <v>16</v>
      </c>
      <c r="H231" t="s">
        <v>17</v>
      </c>
      <c r="I231">
        <v>0</v>
      </c>
      <c r="J231" t="s">
        <v>24</v>
      </c>
      <c r="K231" t="s">
        <v>35</v>
      </c>
      <c r="L231">
        <v>34</v>
      </c>
      <c r="M231" t="s">
        <v>44</v>
      </c>
      <c r="N231" t="s">
        <v>17</v>
      </c>
    </row>
    <row r="232" spans="1:14">
      <c r="A232">
        <v>26298</v>
      </c>
      <c r="B232" t="s">
        <v>38</v>
      </c>
      <c r="C232" t="s">
        <v>43</v>
      </c>
      <c r="D232">
        <v>50000</v>
      </c>
      <c r="E232">
        <v>1</v>
      </c>
      <c r="F232" t="s">
        <v>15</v>
      </c>
      <c r="G232" t="s">
        <v>16</v>
      </c>
      <c r="H232" t="s">
        <v>17</v>
      </c>
      <c r="I232">
        <v>0</v>
      </c>
      <c r="J232" t="s">
        <v>24</v>
      </c>
      <c r="K232" t="s">
        <v>35</v>
      </c>
      <c r="L232">
        <v>34</v>
      </c>
      <c r="M232" t="s">
        <v>44</v>
      </c>
      <c r="N232" t="s">
        <v>17</v>
      </c>
    </row>
    <row r="233" spans="1:14">
      <c r="A233">
        <v>13343</v>
      </c>
      <c r="B233" t="s">
        <v>38</v>
      </c>
      <c r="C233" t="s">
        <v>43</v>
      </c>
      <c r="D233">
        <v>90000</v>
      </c>
      <c r="E233">
        <v>5</v>
      </c>
      <c r="F233" t="s">
        <v>15</v>
      </c>
      <c r="G233" t="s">
        <v>31</v>
      </c>
      <c r="H233" t="s">
        <v>17</v>
      </c>
      <c r="I233">
        <v>2</v>
      </c>
      <c r="J233" t="s">
        <v>29</v>
      </c>
      <c r="K233" t="s">
        <v>35</v>
      </c>
      <c r="L233">
        <v>63</v>
      </c>
      <c r="M233" t="s">
        <v>45</v>
      </c>
      <c r="N233" t="s">
        <v>17</v>
      </c>
    </row>
    <row r="234" spans="1:14">
      <c r="A234">
        <v>11303</v>
      </c>
      <c r="B234" t="s">
        <v>41</v>
      </c>
      <c r="C234" t="s">
        <v>43</v>
      </c>
      <c r="D234">
        <v>90000</v>
      </c>
      <c r="E234">
        <v>4</v>
      </c>
      <c r="F234" t="s">
        <v>30</v>
      </c>
      <c r="G234" t="s">
        <v>23</v>
      </c>
      <c r="H234" t="s">
        <v>20</v>
      </c>
      <c r="I234">
        <v>3</v>
      </c>
      <c r="J234" t="s">
        <v>29</v>
      </c>
      <c r="K234" t="s">
        <v>35</v>
      </c>
      <c r="L234">
        <v>45</v>
      </c>
      <c r="M234" t="s">
        <v>44</v>
      </c>
      <c r="N234" t="s">
        <v>17</v>
      </c>
    </row>
    <row r="235" spans="1:14">
      <c r="A235">
        <v>17654</v>
      </c>
      <c r="B235" t="s">
        <v>41</v>
      </c>
      <c r="C235" t="s">
        <v>43</v>
      </c>
      <c r="D235">
        <v>40000</v>
      </c>
      <c r="E235">
        <v>3</v>
      </c>
      <c r="F235" t="s">
        <v>21</v>
      </c>
      <c r="G235" t="s">
        <v>22</v>
      </c>
      <c r="H235" t="s">
        <v>17</v>
      </c>
      <c r="I235">
        <v>1</v>
      </c>
      <c r="J235" t="s">
        <v>29</v>
      </c>
      <c r="K235" t="s">
        <v>35</v>
      </c>
      <c r="L235">
        <v>30</v>
      </c>
      <c r="M235" t="s">
        <v>46</v>
      </c>
      <c r="N235" t="s">
        <v>17</v>
      </c>
    </row>
    <row r="236" spans="1:14">
      <c r="A236">
        <v>13886</v>
      </c>
      <c r="B236" t="s">
        <v>38</v>
      </c>
      <c r="C236" t="s">
        <v>43</v>
      </c>
      <c r="D236">
        <v>70000</v>
      </c>
      <c r="E236">
        <v>4</v>
      </c>
      <c r="F236" t="s">
        <v>34</v>
      </c>
      <c r="G236" t="s">
        <v>23</v>
      </c>
      <c r="H236" t="s">
        <v>17</v>
      </c>
      <c r="I236">
        <v>0</v>
      </c>
      <c r="J236" t="s">
        <v>24</v>
      </c>
      <c r="K236" t="s">
        <v>35</v>
      </c>
      <c r="L236">
        <v>35</v>
      </c>
      <c r="M236" t="s">
        <v>44</v>
      </c>
      <c r="N236" t="s">
        <v>17</v>
      </c>
    </row>
    <row r="237" spans="1:14">
      <c r="A237">
        <v>16007</v>
      </c>
      <c r="B237" t="s">
        <v>38</v>
      </c>
      <c r="C237" t="s">
        <v>43</v>
      </c>
      <c r="D237">
        <v>90000</v>
      </c>
      <c r="E237">
        <v>5</v>
      </c>
      <c r="F237" t="s">
        <v>15</v>
      </c>
      <c r="G237" t="s">
        <v>31</v>
      </c>
      <c r="H237" t="s">
        <v>17</v>
      </c>
      <c r="I237">
        <v>2</v>
      </c>
      <c r="J237" t="s">
        <v>29</v>
      </c>
      <c r="K237" t="s">
        <v>35</v>
      </c>
      <c r="L237">
        <v>66</v>
      </c>
      <c r="M237" t="s">
        <v>45</v>
      </c>
      <c r="N237" t="s">
        <v>17</v>
      </c>
    </row>
    <row r="238" spans="1:14">
      <c r="A238">
        <v>23818</v>
      </c>
      <c r="B238" t="s">
        <v>38</v>
      </c>
      <c r="C238" t="s">
        <v>43</v>
      </c>
      <c r="D238">
        <v>50000</v>
      </c>
      <c r="E238">
        <v>0</v>
      </c>
      <c r="F238" t="s">
        <v>34</v>
      </c>
      <c r="G238" t="s">
        <v>16</v>
      </c>
      <c r="H238" t="s">
        <v>17</v>
      </c>
      <c r="I238">
        <v>0</v>
      </c>
      <c r="J238" t="s">
        <v>29</v>
      </c>
      <c r="K238" t="s">
        <v>35</v>
      </c>
      <c r="L238">
        <v>33</v>
      </c>
      <c r="M238" t="s">
        <v>44</v>
      </c>
      <c r="N238" t="s">
        <v>17</v>
      </c>
    </row>
    <row r="239" spans="1:14">
      <c r="A239">
        <v>18594</v>
      </c>
      <c r="B239" t="s">
        <v>41</v>
      </c>
      <c r="C239" t="s">
        <v>43</v>
      </c>
      <c r="D239">
        <v>80000</v>
      </c>
      <c r="E239">
        <v>3</v>
      </c>
      <c r="F239" t="s">
        <v>15</v>
      </c>
      <c r="G239" t="s">
        <v>16</v>
      </c>
      <c r="H239" t="s">
        <v>17</v>
      </c>
      <c r="I239">
        <v>3</v>
      </c>
      <c r="J239" t="s">
        <v>33</v>
      </c>
      <c r="K239" t="s">
        <v>35</v>
      </c>
      <c r="L239">
        <v>40</v>
      </c>
      <c r="M239" t="s">
        <v>44</v>
      </c>
      <c r="N239" t="s">
        <v>17</v>
      </c>
    </row>
    <row r="240" spans="1:14">
      <c r="A240">
        <v>19117</v>
      </c>
      <c r="B240" t="s">
        <v>41</v>
      </c>
      <c r="C240" t="s">
        <v>43</v>
      </c>
      <c r="D240">
        <v>60000</v>
      </c>
      <c r="E240">
        <v>1</v>
      </c>
      <c r="F240" t="s">
        <v>34</v>
      </c>
      <c r="G240" t="s">
        <v>23</v>
      </c>
      <c r="H240" t="s">
        <v>17</v>
      </c>
      <c r="I240">
        <v>0</v>
      </c>
      <c r="J240" t="s">
        <v>24</v>
      </c>
      <c r="K240" t="s">
        <v>35</v>
      </c>
      <c r="L240">
        <v>36</v>
      </c>
      <c r="M240" t="s">
        <v>44</v>
      </c>
      <c r="N240" t="s">
        <v>17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showGridLines="0" zoomScale="68" zoomScaleNormal="68" workbookViewId="0">
      <selection activeCell="J50" sqref="J50"/>
    </sheetView>
  </sheetViews>
  <sheetFormatPr defaultColWidth="9.14285714285714" defaultRowHeight="15" outlineLevelRow="7"/>
  <sheetData>
    <row r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idden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45" customHeight="1" spans="1:14">
      <c r="A4" s="2"/>
      <c r="B4" s="2"/>
      <c r="C4" s="3"/>
      <c r="D4" s="4" t="s">
        <v>47</v>
      </c>
      <c r="E4" s="5"/>
      <c r="F4" s="2"/>
      <c r="G4" s="2"/>
      <c r="H4" s="2"/>
      <c r="I4" s="2"/>
      <c r="J4" s="2"/>
      <c r="K4" s="2"/>
      <c r="L4" s="2"/>
      <c r="M4" s="2"/>
      <c r="N4" s="2"/>
    </row>
    <row r="5" ht="6" customHeight="1" spans="1:14">
      <c r="A5" s="2"/>
      <c r="B5" s="2"/>
      <c r="C5" s="2"/>
      <c r="D5" s="4" t="s">
        <v>47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hidden="1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8" spans="17:17">
      <c r="Q8" s="6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zoomScale="60" zoomScaleNormal="60" workbookViewId="0">
      <selection activeCell="Q41" sqref="Q41"/>
    </sheetView>
  </sheetViews>
  <sheetFormatPr defaultColWidth="9.14285714285714" defaultRowHeight="15" outlineLevelCol="5"/>
  <cols>
    <col min="1" max="1" width="19.1428571428571"/>
    <col min="2" max="3" width="17.5714285714286"/>
    <col min="4" max="4" width="11.8571428571429"/>
    <col min="5" max="5" width="17.5714285714286"/>
    <col min="6" max="7" width="11.8571428571429"/>
    <col min="23" max="23" width="15.7142857142857"/>
  </cols>
  <sheetData>
    <row r="1" spans="1:4">
      <c r="A1" s="1" t="s">
        <v>48</v>
      </c>
      <c r="B1" s="1" t="s">
        <v>12</v>
      </c>
      <c r="C1" s="1"/>
      <c r="D1" s="1"/>
    </row>
    <row r="2" spans="1:4">
      <c r="A2" s="1" t="s">
        <v>2</v>
      </c>
      <c r="B2" s="1" t="s">
        <v>20</v>
      </c>
      <c r="C2" s="1" t="s">
        <v>17</v>
      </c>
      <c r="D2" s="1" t="s">
        <v>49</v>
      </c>
    </row>
    <row r="3" spans="1:4">
      <c r="A3" s="1" t="s">
        <v>39</v>
      </c>
      <c r="B3" s="1">
        <v>39375</v>
      </c>
      <c r="C3" s="1">
        <v>40000</v>
      </c>
      <c r="D3" s="1">
        <v>39705.8823529412</v>
      </c>
    </row>
    <row r="4" spans="1:4">
      <c r="A4" s="1" t="s">
        <v>40</v>
      </c>
      <c r="B4" s="1">
        <v>40000</v>
      </c>
      <c r="C4" s="1">
        <v>35294.1176470588</v>
      </c>
      <c r="D4" s="1">
        <v>36800</v>
      </c>
    </row>
    <row r="5" spans="1:4">
      <c r="A5" s="1" t="s">
        <v>49</v>
      </c>
      <c r="B5" s="1">
        <v>39583.3333333333</v>
      </c>
      <c r="C5" s="1">
        <v>37714.2857142857</v>
      </c>
      <c r="D5" s="1">
        <v>38474.5762711864</v>
      </c>
    </row>
    <row r="21" spans="1:2">
      <c r="A21" t="s">
        <v>50</v>
      </c>
      <c r="B21" t="s">
        <v>12</v>
      </c>
    </row>
    <row r="22" spans="1:4">
      <c r="A22" t="s">
        <v>9</v>
      </c>
      <c r="B22" t="s">
        <v>20</v>
      </c>
      <c r="C22" t="s">
        <v>17</v>
      </c>
      <c r="D22" t="s">
        <v>49</v>
      </c>
    </row>
    <row r="23" spans="1:4">
      <c r="A23" t="s">
        <v>18</v>
      </c>
      <c r="B23">
        <v>166</v>
      </c>
      <c r="C23">
        <v>200</v>
      </c>
      <c r="D23">
        <v>366</v>
      </c>
    </row>
    <row r="24" spans="1:4">
      <c r="A24" t="s">
        <v>29</v>
      </c>
      <c r="B24">
        <v>92</v>
      </c>
      <c r="C24">
        <v>77</v>
      </c>
      <c r="D24">
        <v>169</v>
      </c>
    </row>
    <row r="25" spans="1:4">
      <c r="A25" t="s">
        <v>24</v>
      </c>
      <c r="B25">
        <v>67</v>
      </c>
      <c r="C25">
        <v>95</v>
      </c>
      <c r="D25">
        <v>162</v>
      </c>
    </row>
    <row r="26" spans="1:4">
      <c r="A26" t="s">
        <v>26</v>
      </c>
      <c r="B26">
        <v>116</v>
      </c>
      <c r="C26">
        <v>76</v>
      </c>
      <c r="D26">
        <v>192</v>
      </c>
    </row>
    <row r="27" spans="1:4">
      <c r="A27" t="s">
        <v>42</v>
      </c>
      <c r="B27">
        <v>78</v>
      </c>
      <c r="C27">
        <v>33</v>
      </c>
      <c r="D27">
        <v>111</v>
      </c>
    </row>
    <row r="28" spans="1:4">
      <c r="A28" t="s">
        <v>49</v>
      </c>
      <c r="B28">
        <v>519</v>
      </c>
      <c r="C28">
        <v>481</v>
      </c>
      <c r="D28">
        <v>1000</v>
      </c>
    </row>
    <row r="40" spans="3:4">
      <c r="C40" t="s">
        <v>50</v>
      </c>
      <c r="D40" t="s">
        <v>12</v>
      </c>
    </row>
    <row r="41" spans="3:6">
      <c r="C41" t="s">
        <v>37</v>
      </c>
      <c r="D41" t="s">
        <v>20</v>
      </c>
      <c r="E41" t="s">
        <v>17</v>
      </c>
      <c r="F41" t="s">
        <v>49</v>
      </c>
    </row>
    <row r="42" spans="3:6">
      <c r="C42" t="s">
        <v>46</v>
      </c>
      <c r="D42">
        <v>71</v>
      </c>
      <c r="E42">
        <v>39</v>
      </c>
      <c r="F42">
        <v>110</v>
      </c>
    </row>
    <row r="43" spans="3:6">
      <c r="C43" t="s">
        <v>51</v>
      </c>
      <c r="D43">
        <v>331</v>
      </c>
      <c r="E43">
        <v>388</v>
      </c>
      <c r="F43">
        <v>719</v>
      </c>
    </row>
    <row r="44" spans="3:6">
      <c r="C44" t="s">
        <v>52</v>
      </c>
      <c r="D44">
        <v>117</v>
      </c>
      <c r="E44">
        <v>54</v>
      </c>
      <c r="F44">
        <v>171</v>
      </c>
    </row>
    <row r="45" spans="3:6">
      <c r="C45" t="s">
        <v>49</v>
      </c>
      <c r="D45">
        <v>519</v>
      </c>
      <c r="E45">
        <v>481</v>
      </c>
      <c r="F45">
        <v>1000</v>
      </c>
    </row>
    <row r="60" spans="1:2">
      <c r="A60" t="s">
        <v>50</v>
      </c>
      <c r="B60" t="s">
        <v>12</v>
      </c>
    </row>
    <row r="61" spans="1:4">
      <c r="A61" t="s">
        <v>11</v>
      </c>
      <c r="B61" t="s">
        <v>20</v>
      </c>
      <c r="C61" t="s">
        <v>17</v>
      </c>
      <c r="D61" t="s">
        <v>49</v>
      </c>
    </row>
    <row r="62" spans="1:4">
      <c r="A62">
        <v>42</v>
      </c>
      <c r="B62">
        <v>22</v>
      </c>
      <c r="C62">
        <v>12</v>
      </c>
      <c r="D62">
        <v>34</v>
      </c>
    </row>
    <row r="63" spans="1:4">
      <c r="A63">
        <v>43</v>
      </c>
      <c r="B63">
        <v>17</v>
      </c>
      <c r="C63">
        <v>19</v>
      </c>
      <c r="D63">
        <v>36</v>
      </c>
    </row>
    <row r="64" spans="1:4">
      <c r="A64">
        <v>60</v>
      </c>
      <c r="B64">
        <v>8</v>
      </c>
      <c r="C64">
        <v>7</v>
      </c>
      <c r="D64">
        <v>15</v>
      </c>
    </row>
    <row r="65" spans="1:4">
      <c r="A65">
        <v>41</v>
      </c>
      <c r="B65">
        <v>13</v>
      </c>
      <c r="C65">
        <v>15</v>
      </c>
      <c r="D65">
        <v>28</v>
      </c>
    </row>
    <row r="66" spans="1:4">
      <c r="A66">
        <v>36</v>
      </c>
      <c r="B66">
        <v>7</v>
      </c>
      <c r="C66">
        <v>30</v>
      </c>
      <c r="D66">
        <v>37</v>
      </c>
    </row>
    <row r="67" spans="1:4">
      <c r="A67">
        <v>50</v>
      </c>
      <c r="B67">
        <v>12</v>
      </c>
      <c r="C67">
        <v>12</v>
      </c>
      <c r="D67">
        <v>24</v>
      </c>
    </row>
    <row r="68" spans="1:4">
      <c r="A68">
        <v>33</v>
      </c>
      <c r="B68">
        <v>8</v>
      </c>
      <c r="C68">
        <v>13</v>
      </c>
      <c r="D68">
        <v>21</v>
      </c>
    </row>
    <row r="69" spans="1:4">
      <c r="A69">
        <v>58</v>
      </c>
      <c r="B69">
        <v>8</v>
      </c>
      <c r="C69">
        <v>4</v>
      </c>
      <c r="D69">
        <v>12</v>
      </c>
    </row>
    <row r="70" spans="1:4">
      <c r="A70">
        <v>40</v>
      </c>
      <c r="B70">
        <v>24</v>
      </c>
      <c r="C70">
        <v>18</v>
      </c>
      <c r="D70">
        <v>42</v>
      </c>
    </row>
    <row r="71" spans="1:4">
      <c r="A71">
        <v>54</v>
      </c>
      <c r="B71">
        <v>5</v>
      </c>
      <c r="C71">
        <v>11</v>
      </c>
      <c r="D71">
        <v>16</v>
      </c>
    </row>
    <row r="72" spans="1:4">
      <c r="A72">
        <v>55</v>
      </c>
      <c r="B72">
        <v>13</v>
      </c>
      <c r="C72">
        <v>5</v>
      </c>
      <c r="D72">
        <v>18</v>
      </c>
    </row>
    <row r="73" spans="1:4">
      <c r="A73">
        <v>35</v>
      </c>
      <c r="B73">
        <v>14</v>
      </c>
      <c r="C73">
        <v>22</v>
      </c>
      <c r="D73">
        <v>36</v>
      </c>
    </row>
    <row r="74" spans="1:4">
      <c r="A74">
        <v>45</v>
      </c>
      <c r="B74">
        <v>18</v>
      </c>
      <c r="C74">
        <v>13</v>
      </c>
      <c r="D74">
        <v>31</v>
      </c>
    </row>
    <row r="75" spans="1:4">
      <c r="A75">
        <v>38</v>
      </c>
      <c r="B75">
        <v>8</v>
      </c>
      <c r="C75">
        <v>29</v>
      </c>
      <c r="D75">
        <v>37</v>
      </c>
    </row>
    <row r="76" spans="1:4">
      <c r="A76">
        <v>59</v>
      </c>
      <c r="B76">
        <v>14</v>
      </c>
      <c r="C76">
        <v>6</v>
      </c>
      <c r="D76">
        <v>20</v>
      </c>
    </row>
    <row r="77" spans="1:4">
      <c r="A77">
        <v>47</v>
      </c>
      <c r="B77">
        <v>19</v>
      </c>
      <c r="C77">
        <v>20</v>
      </c>
      <c r="D77">
        <v>39</v>
      </c>
    </row>
    <row r="78" spans="1:4">
      <c r="A78">
        <v>56</v>
      </c>
      <c r="B78">
        <v>13</v>
      </c>
      <c r="C78">
        <v>3</v>
      </c>
      <c r="D78">
        <v>16</v>
      </c>
    </row>
    <row r="79" spans="1:4">
      <c r="A79">
        <v>34</v>
      </c>
      <c r="B79">
        <v>12</v>
      </c>
      <c r="C79">
        <v>19</v>
      </c>
      <c r="D79">
        <v>31</v>
      </c>
    </row>
    <row r="80" spans="1:4">
      <c r="A80">
        <v>63</v>
      </c>
      <c r="B80">
        <v>7</v>
      </c>
      <c r="C80">
        <v>2</v>
      </c>
      <c r="D80">
        <v>9</v>
      </c>
    </row>
    <row r="81" spans="1:4">
      <c r="A81">
        <v>29</v>
      </c>
      <c r="B81">
        <v>11</v>
      </c>
      <c r="C81">
        <v>5</v>
      </c>
      <c r="D81">
        <v>16</v>
      </c>
    </row>
    <row r="82" spans="1:4">
      <c r="A82">
        <v>44</v>
      </c>
      <c r="B82">
        <v>15</v>
      </c>
      <c r="C82">
        <v>12</v>
      </c>
      <c r="D82">
        <v>27</v>
      </c>
    </row>
    <row r="83" spans="1:4">
      <c r="A83">
        <v>32</v>
      </c>
      <c r="B83">
        <v>19</v>
      </c>
      <c r="C83">
        <v>14</v>
      </c>
      <c r="D83">
        <v>33</v>
      </c>
    </row>
    <row r="84" spans="1:4">
      <c r="A84">
        <v>26</v>
      </c>
      <c r="B84">
        <v>8</v>
      </c>
      <c r="C84">
        <v>8</v>
      </c>
      <c r="D84">
        <v>16</v>
      </c>
    </row>
    <row r="85" spans="1:4">
      <c r="A85">
        <v>31</v>
      </c>
      <c r="B85">
        <v>17</v>
      </c>
      <c r="C85">
        <v>8</v>
      </c>
      <c r="D85">
        <v>25</v>
      </c>
    </row>
    <row r="86" spans="1:4">
      <c r="A86">
        <v>62</v>
      </c>
      <c r="B86">
        <v>9</v>
      </c>
      <c r="C86">
        <v>4</v>
      </c>
      <c r="D86">
        <v>13</v>
      </c>
    </row>
    <row r="87" spans="1:4">
      <c r="A87">
        <v>30</v>
      </c>
      <c r="B87">
        <v>23</v>
      </c>
      <c r="C87">
        <v>4</v>
      </c>
      <c r="D87">
        <v>27</v>
      </c>
    </row>
    <row r="88" spans="1:4">
      <c r="A88">
        <v>28</v>
      </c>
      <c r="B88">
        <v>12</v>
      </c>
      <c r="C88">
        <v>10</v>
      </c>
      <c r="D88">
        <v>22</v>
      </c>
    </row>
    <row r="89" spans="1:4">
      <c r="A89">
        <v>65</v>
      </c>
      <c r="B89">
        <v>6</v>
      </c>
      <c r="C89">
        <v>3</v>
      </c>
      <c r="D89">
        <v>9</v>
      </c>
    </row>
    <row r="90" spans="1:4">
      <c r="A90">
        <v>48</v>
      </c>
      <c r="B90">
        <v>16</v>
      </c>
      <c r="C90">
        <v>13</v>
      </c>
      <c r="D90">
        <v>29</v>
      </c>
    </row>
    <row r="91" spans="1:4">
      <c r="A91">
        <v>66</v>
      </c>
      <c r="B91">
        <v>8</v>
      </c>
      <c r="C91">
        <v>6</v>
      </c>
      <c r="D91">
        <v>14</v>
      </c>
    </row>
    <row r="92" spans="1:4">
      <c r="A92">
        <v>46</v>
      </c>
      <c r="B92">
        <v>12</v>
      </c>
      <c r="C92">
        <v>15</v>
      </c>
      <c r="D92">
        <v>27</v>
      </c>
    </row>
    <row r="93" spans="1:4">
      <c r="A93">
        <v>52</v>
      </c>
      <c r="B93">
        <v>10</v>
      </c>
      <c r="C93">
        <v>15</v>
      </c>
      <c r="D93">
        <v>25</v>
      </c>
    </row>
    <row r="94" spans="1:4">
      <c r="A94">
        <v>39</v>
      </c>
      <c r="B94">
        <v>10</v>
      </c>
      <c r="C94">
        <v>12</v>
      </c>
      <c r="D94">
        <v>22</v>
      </c>
    </row>
    <row r="95" spans="1:4">
      <c r="A95">
        <v>61</v>
      </c>
      <c r="B95">
        <v>5</v>
      </c>
      <c r="C95">
        <v>4</v>
      </c>
      <c r="D95">
        <v>9</v>
      </c>
    </row>
    <row r="96" spans="1:4">
      <c r="A96">
        <v>37</v>
      </c>
      <c r="B96">
        <v>4</v>
      </c>
      <c r="C96">
        <v>28</v>
      </c>
      <c r="D96">
        <v>32</v>
      </c>
    </row>
    <row r="97" spans="1:4">
      <c r="A97">
        <v>68</v>
      </c>
      <c r="B97">
        <v>3</v>
      </c>
      <c r="D97">
        <v>3</v>
      </c>
    </row>
    <row r="98" spans="1:4">
      <c r="A98">
        <v>51</v>
      </c>
      <c r="B98">
        <v>10</v>
      </c>
      <c r="C98">
        <v>12</v>
      </c>
      <c r="D98">
        <v>22</v>
      </c>
    </row>
    <row r="99" spans="1:4">
      <c r="A99">
        <v>25</v>
      </c>
      <c r="B99">
        <v>2</v>
      </c>
      <c r="C99">
        <v>4</v>
      </c>
      <c r="D99">
        <v>6</v>
      </c>
    </row>
    <row r="100" spans="1:4">
      <c r="A100">
        <v>49</v>
      </c>
      <c r="B100">
        <v>15</v>
      </c>
      <c r="C100">
        <v>8</v>
      </c>
      <c r="D100">
        <v>23</v>
      </c>
    </row>
    <row r="101" spans="1:4">
      <c r="A101">
        <v>53</v>
      </c>
      <c r="B101">
        <v>11</v>
      </c>
      <c r="C101">
        <v>13</v>
      </c>
      <c r="D101">
        <v>24</v>
      </c>
    </row>
    <row r="102" spans="1:4">
      <c r="A102">
        <v>27</v>
      </c>
      <c r="B102">
        <v>15</v>
      </c>
      <c r="C102">
        <v>8</v>
      </c>
      <c r="D102">
        <v>23</v>
      </c>
    </row>
    <row r="103" spans="1:4">
      <c r="A103">
        <v>67</v>
      </c>
      <c r="B103">
        <v>8</v>
      </c>
      <c r="C103">
        <v>2</v>
      </c>
      <c r="D103">
        <v>10</v>
      </c>
    </row>
    <row r="104" spans="1:4">
      <c r="A104">
        <v>57</v>
      </c>
      <c r="B104">
        <v>4</v>
      </c>
      <c r="C104">
        <v>4</v>
      </c>
      <c r="D104">
        <v>8</v>
      </c>
    </row>
    <row r="105" spans="1:4">
      <c r="A105">
        <v>70</v>
      </c>
      <c r="B105">
        <v>3</v>
      </c>
      <c r="C105">
        <v>1</v>
      </c>
      <c r="D105">
        <v>4</v>
      </c>
    </row>
    <row r="106" spans="1:4">
      <c r="A106">
        <v>78</v>
      </c>
      <c r="B106">
        <v>1</v>
      </c>
      <c r="C106">
        <v>1</v>
      </c>
      <c r="D106">
        <v>2</v>
      </c>
    </row>
    <row r="107" spans="1:4">
      <c r="A107">
        <v>69</v>
      </c>
      <c r="B107">
        <v>8</v>
      </c>
      <c r="D107">
        <v>8</v>
      </c>
    </row>
    <row r="108" spans="1:4">
      <c r="A108">
        <v>64</v>
      </c>
      <c r="B108">
        <v>7</v>
      </c>
      <c r="C108">
        <v>3</v>
      </c>
      <c r="D108">
        <v>10</v>
      </c>
    </row>
    <row r="109" spans="1:4">
      <c r="A109">
        <v>89</v>
      </c>
      <c r="B109">
        <v>1</v>
      </c>
      <c r="D109">
        <v>1</v>
      </c>
    </row>
    <row r="110" spans="1:4">
      <c r="A110">
        <v>80</v>
      </c>
      <c r="B110">
        <v>1</v>
      </c>
      <c r="D110">
        <v>1</v>
      </c>
    </row>
    <row r="111" spans="1:4">
      <c r="A111">
        <v>73</v>
      </c>
      <c r="B111">
        <v>2</v>
      </c>
      <c r="C111">
        <v>2</v>
      </c>
      <c r="D111">
        <v>4</v>
      </c>
    </row>
    <row r="112" spans="1:4">
      <c r="A112">
        <v>74</v>
      </c>
      <c r="C112">
        <v>1</v>
      </c>
      <c r="D112">
        <v>1</v>
      </c>
    </row>
    <row r="113" spans="1:4">
      <c r="A113">
        <v>71</v>
      </c>
      <c r="B113">
        <v>1</v>
      </c>
      <c r="D113">
        <v>1</v>
      </c>
    </row>
    <row r="114" spans="1:4">
      <c r="A114">
        <v>72</v>
      </c>
      <c r="C114">
        <v>1</v>
      </c>
      <c r="D114">
        <v>1</v>
      </c>
    </row>
    <row r="115" spans="1:4">
      <c r="A115" t="s">
        <v>49</v>
      </c>
      <c r="B115">
        <v>519</v>
      </c>
      <c r="C115">
        <v>481</v>
      </c>
      <c r="D115">
        <v>1000</v>
      </c>
    </row>
  </sheetData>
  <pageMargins left="0.75" right="0.75" top="1" bottom="1" header="0.5" footer="0.5"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bike_buyers</vt:lpstr>
      <vt:lpstr>working sheet</vt:lpstr>
      <vt:lpstr>Sheet4</vt:lpstr>
      <vt:lpstr>dashboard</vt:lpstr>
      <vt:lpstr>privot 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Charan</cp:lastModifiedBy>
  <dcterms:created xsi:type="dcterms:W3CDTF">2022-03-18T02:50:00Z</dcterms:created>
  <dcterms:modified xsi:type="dcterms:W3CDTF">2026-02-12T15:48:04Z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A2879213E615401BAD8801B61BCB5F30_13</vt:lpwstr>
  </property>
</Properties>
</file>